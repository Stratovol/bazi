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sd/PyCharm/bazi/"/>
    </mc:Choice>
  </mc:AlternateContent>
  <xr:revisionPtr revIDLastSave="0" documentId="13_ncr:1_{D2864D31-4CDA-164C-8F42-893B292B1351}" xr6:coauthVersionLast="47" xr6:coauthVersionMax="47" xr10:uidLastSave="{00000000-0000-0000-0000-000000000000}"/>
  <bookViews>
    <workbookView xWindow="0" yWindow="500" windowWidth="30500" windowHeight="16800" tabRatio="500" activeTab="5" xr2:uid="{00000000-000D-0000-FFFF-FFFF00000000}"/>
  </bookViews>
  <sheets>
    <sheet name="Front" sheetId="1" r:id="rId1"/>
    <sheet name="Bazi" sheetId="4" r:id="rId2"/>
    <sheet name="Calc" sheetId="2" r:id="rId3"/>
    <sheet name="Data" sheetId="3" r:id="rId4"/>
    <sheet name="Time Zones" sheetId="5" r:id="rId5"/>
    <sheet name="Sheet1" sheetId="6" r:id="rId6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5" i="6"/>
  <c r="E24" i="4"/>
  <c r="F2" i="1" s="1"/>
  <c r="D5" i="1"/>
  <c r="C5" i="1"/>
  <c r="B97" i="4"/>
  <c r="C97" i="4"/>
  <c r="D97" i="4"/>
  <c r="E97" i="4"/>
  <c r="F97" i="4"/>
  <c r="G97" i="4"/>
  <c r="H97" i="4"/>
  <c r="I97" i="4"/>
  <c r="J97" i="4"/>
  <c r="K97" i="4"/>
  <c r="D49" i="2" a="1"/>
  <c r="D49" i="2" s="1"/>
  <c r="D50" i="2" s="1"/>
  <c r="Q14" i="1"/>
  <c r="E5" i="1" l="1"/>
  <c r="O3" i="4"/>
  <c r="D37" i="2"/>
  <c r="D38" i="2" s="1"/>
  <c r="F5" i="1"/>
  <c r="D265" i="4"/>
  <c r="D272" i="4" s="1"/>
  <c r="D20" i="2" a="1"/>
  <c r="D20" i="2" s="1"/>
  <c r="H29" i="2" s="1"/>
  <c r="H59" i="2"/>
  <c r="G53" i="2"/>
  <c r="E43" i="2" l="1"/>
  <c r="E44" i="2" s="1"/>
  <c r="D29" i="2"/>
  <c r="V17" i="4" s="1"/>
  <c r="P29" i="2"/>
  <c r="D271" i="4"/>
  <c r="C273" i="4" s="1"/>
  <c r="C33" i="1" s="1"/>
  <c r="L29" i="2"/>
  <c r="I29" i="2"/>
  <c r="D267" i="4"/>
  <c r="F29" i="2"/>
  <c r="E273" i="4"/>
  <c r="C34" i="1" s="1"/>
  <c r="J29" i="2"/>
  <c r="N29" i="2"/>
  <c r="G29" i="2"/>
  <c r="D21" i="2"/>
  <c r="D23" i="2" s="1"/>
  <c r="E29" i="2"/>
  <c r="M29" i="2"/>
  <c r="O29" i="2"/>
  <c r="K29" i="2"/>
  <c r="D268" i="4"/>
  <c r="D266" i="4"/>
  <c r="H44" i="2"/>
  <c r="H45" i="2" s="1"/>
  <c r="E104" i="4" s="1"/>
  <c r="J220" i="4" s="1"/>
  <c r="D104" i="4"/>
  <c r="D22" i="4"/>
  <c r="E57" i="2"/>
  <c r="E58" i="2" s="1"/>
  <c r="E59" i="2" s="1"/>
  <c r="E45" i="2"/>
  <c r="E103" i="4" s="1"/>
  <c r="Q4" i="4"/>
  <c r="R4" i="4"/>
  <c r="P17" i="4"/>
  <c r="Q17" i="4"/>
  <c r="U17" i="4"/>
  <c r="S4" i="4"/>
  <c r="T4" i="4"/>
  <c r="R17" i="4"/>
  <c r="G39" i="2"/>
  <c r="G40" i="2" s="1"/>
  <c r="E22" i="4" s="1"/>
  <c r="D39" i="2"/>
  <c r="V4" i="4"/>
  <c r="W17" i="4"/>
  <c r="S17" i="4" l="1"/>
  <c r="P4" i="4"/>
  <c r="U4" i="4"/>
  <c r="T17" i="4"/>
  <c r="C269" i="4"/>
  <c r="C32" i="1" s="1"/>
  <c r="D32" i="2" a="1"/>
  <c r="D32" i="2" s="1"/>
  <c r="G23" i="2"/>
  <c r="K20" i="2" s="1"/>
  <c r="K21" i="2" s="1"/>
  <c r="J19" i="4" s="1"/>
  <c r="Q8" i="1" s="1"/>
  <c r="O4" i="4"/>
  <c r="K22" i="4" s="1"/>
  <c r="C91" i="4"/>
  <c r="C60" i="4"/>
  <c r="D91" i="4"/>
  <c r="E60" i="4"/>
  <c r="B60" i="4"/>
  <c r="E91" i="4"/>
  <c r="F60" i="4"/>
  <c r="G60" i="4"/>
  <c r="I60" i="4"/>
  <c r="D60" i="4"/>
  <c r="J60" i="4"/>
  <c r="H60" i="4"/>
  <c r="C11" i="1"/>
  <c r="K60" i="4"/>
  <c r="I220" i="4"/>
  <c r="E123" i="4"/>
  <c r="D123" i="4"/>
  <c r="D40" i="2"/>
  <c r="E21" i="4" s="1"/>
  <c r="D51" i="2"/>
  <c r="D52" i="2" s="1"/>
  <c r="D53" i="2" s="1"/>
  <c r="D24" i="2"/>
  <c r="G21" i="4" s="1"/>
  <c r="M20" i="4" s="1"/>
  <c r="Q190" i="4"/>
  <c r="J219" i="4"/>
  <c r="J221" i="4" s="1"/>
  <c r="C189" i="4"/>
  <c r="B190" i="4" s="1"/>
  <c r="Q189" i="4"/>
  <c r="J224" i="4"/>
  <c r="B123" i="4"/>
  <c r="Q192" i="4"/>
  <c r="C123" i="4"/>
  <c r="O17" i="4"/>
  <c r="M22" i="4" s="1"/>
  <c r="B59" i="4"/>
  <c r="I59" i="4"/>
  <c r="D12" i="1"/>
  <c r="K59" i="4"/>
  <c r="D59" i="4"/>
  <c r="F59" i="4"/>
  <c r="C90" i="4"/>
  <c r="E90" i="4"/>
  <c r="D11" i="1"/>
  <c r="D13" i="1" s="1"/>
  <c r="G59" i="4"/>
  <c r="D90" i="4"/>
  <c r="H59" i="4"/>
  <c r="J59" i="4"/>
  <c r="E59" i="4"/>
  <c r="D10" i="1"/>
  <c r="C59" i="4"/>
  <c r="G24" i="2" l="1"/>
  <c r="G22" i="4" s="1"/>
  <c r="L19" i="4" s="1"/>
  <c r="K23" i="2"/>
  <c r="K24" i="2" s="1"/>
  <c r="K25" i="2" s="1"/>
  <c r="K19" i="4" s="1"/>
  <c r="Q3" i="1" s="1"/>
  <c r="D33" i="2"/>
  <c r="D34" i="2" s="1"/>
  <c r="D35" i="2" s="1"/>
  <c r="F21" i="4" s="1"/>
  <c r="F55" i="4" s="1"/>
  <c r="G32" i="2"/>
  <c r="G33" i="2" s="1"/>
  <c r="G35" i="2" s="1"/>
  <c r="F22" i="4" s="1"/>
  <c r="C89" i="4" s="1"/>
  <c r="I19" i="4"/>
  <c r="I20" i="4" s="1"/>
  <c r="M19" i="4"/>
  <c r="K25" i="4" s="1"/>
  <c r="C29" i="1"/>
  <c r="C10" i="1"/>
  <c r="C12" i="1"/>
  <c r="C13" i="1"/>
  <c r="D55" i="4"/>
  <c r="E55" i="4"/>
  <c r="G55" i="4"/>
  <c r="C55" i="4"/>
  <c r="H55" i="4"/>
  <c r="L20" i="4"/>
  <c r="D21" i="4"/>
  <c r="D103" i="4"/>
  <c r="I219" i="4" s="1"/>
  <c r="I221" i="4" s="1"/>
  <c r="I224" i="4" s="1"/>
  <c r="I226" i="4" s="1"/>
  <c r="J226" i="4" s="1"/>
  <c r="G98" i="4"/>
  <c r="D20" i="1" s="1"/>
  <c r="K98" i="4"/>
  <c r="D24" i="1" s="1"/>
  <c r="C98" i="4"/>
  <c r="D16" i="1" s="1"/>
  <c r="F98" i="4"/>
  <c r="D19" i="1" s="1"/>
  <c r="B98" i="4"/>
  <c r="D15" i="1" s="1"/>
  <c r="D8" i="1"/>
  <c r="J98" i="4"/>
  <c r="D23" i="1" s="1"/>
  <c r="E98" i="4"/>
  <c r="D18" i="1" s="1"/>
  <c r="D7" i="1"/>
  <c r="D9" i="1"/>
  <c r="I98" i="4"/>
  <c r="D22" i="1" s="1"/>
  <c r="C87" i="4"/>
  <c r="J8" i="1"/>
  <c r="F87" i="4"/>
  <c r="H98" i="4"/>
  <c r="D21" i="1" s="1"/>
  <c r="D98" i="4"/>
  <c r="D17" i="1" s="1"/>
  <c r="F10" i="1"/>
  <c r="J57" i="4"/>
  <c r="E57" i="4"/>
  <c r="H57" i="4"/>
  <c r="D88" i="4"/>
  <c r="E88" i="4"/>
  <c r="F11" i="1"/>
  <c r="L22" i="4"/>
  <c r="Q17" i="1" s="1"/>
  <c r="D57" i="4"/>
  <c r="F57" i="4"/>
  <c r="C88" i="4"/>
  <c r="K57" i="4"/>
  <c r="I57" i="4"/>
  <c r="B57" i="4"/>
  <c r="I22" i="4"/>
  <c r="G57" i="4"/>
  <c r="C57" i="4"/>
  <c r="F12" i="1"/>
  <c r="F54" i="4"/>
  <c r="B54" i="4"/>
  <c r="F8" i="1"/>
  <c r="D54" i="4"/>
  <c r="J54" i="4"/>
  <c r="I54" i="4"/>
  <c r="F7" i="1"/>
  <c r="E54" i="4"/>
  <c r="K54" i="4"/>
  <c r="C54" i="4"/>
  <c r="H54" i="4"/>
  <c r="F9" i="1"/>
  <c r="G54" i="4"/>
  <c r="J22" i="4"/>
  <c r="Q16" i="1" s="1"/>
  <c r="K55" i="4" l="1"/>
  <c r="E8" i="1"/>
  <c r="E9" i="1"/>
  <c r="E7" i="1"/>
  <c r="I55" i="4"/>
  <c r="J55" i="4"/>
  <c r="B55" i="4"/>
  <c r="F58" i="4"/>
  <c r="E83" i="4"/>
  <c r="J58" i="4"/>
  <c r="J62" i="4" s="1"/>
  <c r="E12" i="1"/>
  <c r="N191" i="4"/>
  <c r="F3" i="1" s="1"/>
  <c r="E58" i="4"/>
  <c r="E62" i="4" s="1"/>
  <c r="E11" i="1"/>
  <c r="E13" i="1" s="1"/>
  <c r="H58" i="4"/>
  <c r="H62" i="4" s="1"/>
  <c r="B58" i="4"/>
  <c r="B62" i="4" s="1"/>
  <c r="F89" i="4"/>
  <c r="J3" i="1" s="1"/>
  <c r="G58" i="4"/>
  <c r="G62" i="4" s="1"/>
  <c r="K58" i="4"/>
  <c r="K62" i="4" s="1"/>
  <c r="E89" i="4"/>
  <c r="C83" i="4"/>
  <c r="F83" i="4"/>
  <c r="E10" i="1"/>
  <c r="I58" i="4"/>
  <c r="I62" i="4" s="1"/>
  <c r="D58" i="4"/>
  <c r="D62" i="4" s="1"/>
  <c r="D83" i="4"/>
  <c r="Q191" i="4"/>
  <c r="C28" i="1" s="1"/>
  <c r="C58" i="4"/>
  <c r="C62" i="4" s="1"/>
  <c r="D89" i="4"/>
  <c r="G83" i="4"/>
  <c r="Q15" i="1"/>
  <c r="F62" i="4"/>
  <c r="I25" i="4"/>
  <c r="K24" i="4" s="1"/>
  <c r="Q13" i="1" s="1"/>
  <c r="O7" i="1"/>
  <c r="Q6" i="1"/>
  <c r="P10" i="1"/>
  <c r="S7" i="1"/>
  <c r="R10" i="1"/>
  <c r="Q7" i="1"/>
  <c r="P5" i="1"/>
  <c r="R5" i="1"/>
  <c r="Q10" i="1"/>
  <c r="P7" i="1"/>
  <c r="T7" i="1"/>
  <c r="F13" i="1"/>
  <c r="O10" i="1"/>
  <c r="N7" i="1"/>
  <c r="S10" i="1"/>
  <c r="R7" i="1"/>
  <c r="C8" i="1"/>
  <c r="F56" i="4"/>
  <c r="F61" i="4" s="1"/>
  <c r="B56" i="4"/>
  <c r="D56" i="4"/>
  <c r="H56" i="4"/>
  <c r="H61" i="4" s="1"/>
  <c r="E56" i="4"/>
  <c r="E61" i="4" s="1"/>
  <c r="K56" i="4"/>
  <c r="J56" i="4"/>
  <c r="G56" i="4"/>
  <c r="G61" i="4" s="1"/>
  <c r="C56" i="4"/>
  <c r="I56" i="4"/>
  <c r="I61" i="4" s="1"/>
  <c r="B61" i="4" l="1"/>
  <c r="J63" i="4"/>
  <c r="G91" i="4"/>
  <c r="E65" i="4"/>
  <c r="K63" i="4"/>
  <c r="K99" i="4" s="1"/>
  <c r="E24" i="1" s="1"/>
  <c r="C63" i="4"/>
  <c r="C99" i="4" s="1"/>
  <c r="E16" i="1" s="1"/>
  <c r="D63" i="4"/>
  <c r="D99" i="4" s="1"/>
  <c r="E17" i="1" s="1"/>
  <c r="F65" i="4"/>
  <c r="H65" i="4"/>
  <c r="G65" i="4"/>
  <c r="J61" i="4"/>
  <c r="J65" i="4" s="1"/>
  <c r="B65" i="4"/>
  <c r="G63" i="4"/>
  <c r="G99" i="4" s="1"/>
  <c r="E20" i="1" s="1"/>
  <c r="E63" i="4"/>
  <c r="E99" i="4" s="1"/>
  <c r="E18" i="1" s="1"/>
  <c r="C61" i="4"/>
  <c r="C65" i="4" s="1"/>
  <c r="I63" i="4"/>
  <c r="I99" i="4" s="1"/>
  <c r="E22" i="1" s="1"/>
  <c r="D61" i="4"/>
  <c r="D65" i="4" s="1"/>
  <c r="J99" i="4"/>
  <c r="E23" i="1" s="1"/>
  <c r="I65" i="4"/>
  <c r="B63" i="4"/>
  <c r="F63" i="4"/>
  <c r="K61" i="4"/>
  <c r="K65" i="4" s="1"/>
  <c r="C7" i="1"/>
  <c r="C9" i="1"/>
  <c r="C27" i="1"/>
  <c r="H63" i="4"/>
  <c r="J4" i="1" l="1"/>
  <c r="L8" i="1"/>
  <c r="K64" i="4"/>
  <c r="G94" i="4" s="1"/>
  <c r="K11" i="1"/>
  <c r="I11" i="1"/>
  <c r="H8" i="1"/>
  <c r="E64" i="4"/>
  <c r="D94" i="4" s="1"/>
  <c r="J6" i="1" s="1"/>
  <c r="C64" i="4"/>
  <c r="B99" i="4"/>
  <c r="E15" i="1" s="1"/>
  <c r="H99" i="4"/>
  <c r="E21" i="1" s="1"/>
  <c r="I64" i="4"/>
  <c r="F94" i="4" s="1"/>
  <c r="K10" i="1" s="1"/>
  <c r="I10" i="1"/>
  <c r="F99" i="4"/>
  <c r="E19" i="1" s="1"/>
  <c r="G64" i="4"/>
  <c r="E94" i="4" s="1"/>
  <c r="L7" i="1" l="1"/>
  <c r="K67" i="4"/>
  <c r="J13" i="1" s="1"/>
  <c r="C94" i="4"/>
  <c r="H7" i="1" l="1"/>
  <c r="H94" i="4"/>
  <c r="C95" i="4" s="1"/>
  <c r="D95" i="4" l="1"/>
  <c r="G95" i="4"/>
  <c r="E95" i="4"/>
  <c r="F95" i="4"/>
</calcChain>
</file>

<file path=xl/sharedStrings.xml><?xml version="1.0" encoding="utf-8"?>
<sst xmlns="http://schemas.openxmlformats.org/spreadsheetml/2006/main" count="2236" uniqueCount="492">
  <si>
    <t>Lunar Ba Zi</t>
  </si>
  <si>
    <t xml:space="preserve">Date: </t>
  </si>
  <si>
    <t xml:space="preserve">         Moon age:</t>
  </si>
  <si>
    <t>Features</t>
  </si>
  <si>
    <t xml:space="preserve">Division </t>
  </si>
  <si>
    <t xml:space="preserve">Time: </t>
  </si>
  <si>
    <t xml:space="preserve">         Season:</t>
  </si>
  <si>
    <t>Concordances</t>
  </si>
  <si>
    <r>
      <rPr>
        <sz val="11"/>
        <rFont val="SimSun"/>
        <charset val="134"/>
      </rPr>
      <t>甲</t>
    </r>
    <r>
      <rPr>
        <sz val="11"/>
        <rFont val="Calibri"/>
        <family val="2"/>
        <charset val="1"/>
      </rPr>
      <t xml:space="preserve"> Jia</t>
    </r>
  </si>
  <si>
    <t>SiTian-GM</t>
  </si>
  <si>
    <r>
      <rPr>
        <sz val="11"/>
        <rFont val="SimSun"/>
        <charset val="134"/>
      </rPr>
      <t>乙</t>
    </r>
    <r>
      <rPr>
        <sz val="11"/>
        <rFont val="Calibri"/>
        <family val="2"/>
        <scheme val="minor"/>
      </rPr>
      <t xml:space="preserve"> </t>
    </r>
    <r>
      <rPr>
        <sz val="11"/>
        <rFont val="Calibri"/>
        <family val="2"/>
        <charset val="1"/>
      </rPr>
      <t>Yi</t>
    </r>
  </si>
  <si>
    <t>G/H MOV</t>
  </si>
  <si>
    <r>
      <rPr>
        <sz val="11"/>
        <rFont val="SimSun"/>
        <charset val="134"/>
      </rPr>
      <t>丙</t>
    </r>
    <r>
      <rPr>
        <sz val="11"/>
        <rFont val="Calibri"/>
        <family val="2"/>
        <charset val="1"/>
      </rPr>
      <t xml:space="preserve"> Bing</t>
    </r>
  </si>
  <si>
    <t>G/H QI</t>
  </si>
  <si>
    <r>
      <rPr>
        <sz val="11"/>
        <rFont val="SimSun"/>
        <charset val="134"/>
      </rPr>
      <t>丁</t>
    </r>
    <r>
      <rPr>
        <sz val="11"/>
        <rFont val="Calibri"/>
        <family val="2"/>
        <charset val="1"/>
      </rPr>
      <t xml:space="preserve"> Ding</t>
    </r>
  </si>
  <si>
    <r>
      <rPr>
        <sz val="11"/>
        <rFont val="SimSun"/>
        <charset val="134"/>
      </rPr>
      <t>戊</t>
    </r>
    <r>
      <rPr>
        <sz val="11"/>
        <rFont val="Calibri"/>
        <family val="2"/>
        <charset val="1"/>
      </rPr>
      <t xml:space="preserve"> Wu</t>
    </r>
  </si>
  <si>
    <r>
      <rPr>
        <sz val="11"/>
        <rFont val="SimSun"/>
        <charset val="134"/>
      </rPr>
      <t>已</t>
    </r>
    <r>
      <rPr>
        <sz val="11"/>
        <rFont val="Calibri"/>
        <family val="2"/>
        <charset val="1"/>
      </rPr>
      <t xml:space="preserve"> Ji</t>
    </r>
  </si>
  <si>
    <r>
      <rPr>
        <sz val="11"/>
        <rFont val="SimSun"/>
        <charset val="134"/>
      </rPr>
      <t>庚</t>
    </r>
    <r>
      <rPr>
        <sz val="11"/>
        <rFont val="Calibri"/>
        <family val="2"/>
        <charset val="1"/>
      </rPr>
      <t xml:space="preserve"> Geng</t>
    </r>
  </si>
  <si>
    <r>
      <rPr>
        <sz val="11"/>
        <rFont val="SimSun"/>
        <charset val="134"/>
      </rPr>
      <t>辛</t>
    </r>
    <r>
      <rPr>
        <sz val="11"/>
        <rFont val="Calibri"/>
        <family val="2"/>
        <charset val="1"/>
      </rPr>
      <t xml:space="preserve"> Xin</t>
    </r>
  </si>
  <si>
    <r>
      <rPr>
        <sz val="11"/>
        <rFont val="SimSun"/>
        <charset val="134"/>
      </rPr>
      <t>壬</t>
    </r>
    <r>
      <rPr>
        <sz val="11"/>
        <rFont val="Calibri"/>
        <family val="2"/>
        <charset val="1"/>
      </rPr>
      <t xml:space="preserve"> Ren</t>
    </r>
  </si>
  <si>
    <r>
      <rPr>
        <sz val="11"/>
        <rFont val="SimSun"/>
        <charset val="134"/>
      </rPr>
      <t>癸</t>
    </r>
    <r>
      <rPr>
        <sz val="11"/>
        <rFont val="Calibri"/>
        <family val="2"/>
        <charset val="1"/>
      </rPr>
      <t xml:space="preserve"> Gui</t>
    </r>
  </si>
  <si>
    <t>Treatment</t>
  </si>
  <si>
    <t>Lunar Mansions</t>
  </si>
  <si>
    <t>Bazi Analysis</t>
  </si>
  <si>
    <t>Stems</t>
  </si>
  <si>
    <t>Branches</t>
  </si>
  <si>
    <t>Divisions</t>
  </si>
  <si>
    <t xml:space="preserve">Ref. Date: </t>
  </si>
  <si>
    <t>Jia</t>
  </si>
  <si>
    <t>甲</t>
  </si>
  <si>
    <t>GB</t>
  </si>
  <si>
    <t>Zi</t>
  </si>
  <si>
    <t>子</t>
  </si>
  <si>
    <t>Shao Yin</t>
  </si>
  <si>
    <t>Fire M.</t>
  </si>
  <si>
    <t>Fire</t>
  </si>
  <si>
    <t>Host</t>
  </si>
  <si>
    <t>Wood</t>
  </si>
  <si>
    <t>Earth</t>
  </si>
  <si>
    <t>Metal</t>
  </si>
  <si>
    <t>Water</t>
  </si>
  <si>
    <t>Yi</t>
  </si>
  <si>
    <t>乙</t>
  </si>
  <si>
    <t>LIV</t>
  </si>
  <si>
    <t>Chou</t>
  </si>
  <si>
    <t>丑</t>
  </si>
  <si>
    <t>Tai Yin</t>
  </si>
  <si>
    <t>Bing</t>
  </si>
  <si>
    <t>丙</t>
  </si>
  <si>
    <t>SI</t>
  </si>
  <si>
    <t>Yin</t>
  </si>
  <si>
    <t>寅</t>
  </si>
  <si>
    <t>LU</t>
  </si>
  <si>
    <t>Shao Yang</t>
  </si>
  <si>
    <t>Fire P.</t>
  </si>
  <si>
    <t>Ding</t>
  </si>
  <si>
    <t>丁</t>
  </si>
  <si>
    <t>HT</t>
  </si>
  <si>
    <t>Mao</t>
  </si>
  <si>
    <t>卯</t>
  </si>
  <si>
    <t xml:space="preserve">CO </t>
  </si>
  <si>
    <t>Yang Ming</t>
  </si>
  <si>
    <t>Wu</t>
  </si>
  <si>
    <t>戊</t>
  </si>
  <si>
    <t>ST</t>
  </si>
  <si>
    <t>Chen</t>
  </si>
  <si>
    <t>辰</t>
  </si>
  <si>
    <t>Tai Yang</t>
  </si>
  <si>
    <t>Ji</t>
  </si>
  <si>
    <t>已</t>
  </si>
  <si>
    <t>SP</t>
  </si>
  <si>
    <t>Si</t>
  </si>
  <si>
    <t>巳</t>
  </si>
  <si>
    <t>Jue Yin</t>
  </si>
  <si>
    <t>Geng</t>
  </si>
  <si>
    <t>庚</t>
  </si>
  <si>
    <t>CO</t>
  </si>
  <si>
    <t>午</t>
  </si>
  <si>
    <t>Xin</t>
  </si>
  <si>
    <t>辛</t>
  </si>
  <si>
    <t>Wei</t>
  </si>
  <si>
    <t>未</t>
  </si>
  <si>
    <t>Celestial Concordance</t>
  </si>
  <si>
    <t>GM</t>
  </si>
  <si>
    <t>Si Tian</t>
  </si>
  <si>
    <t>Ren</t>
  </si>
  <si>
    <t>壬</t>
  </si>
  <si>
    <t>BL</t>
  </si>
  <si>
    <t>Shen</t>
  </si>
  <si>
    <t>申</t>
  </si>
  <si>
    <t>Yearly Meeting</t>
  </si>
  <si>
    <t>DE</t>
  </si>
  <si>
    <t>Gui</t>
  </si>
  <si>
    <t>癸</t>
  </si>
  <si>
    <t>KI</t>
  </si>
  <si>
    <t>You</t>
  </si>
  <si>
    <t>酉</t>
  </si>
  <si>
    <t>Celestial Concordance Great Yi</t>
  </si>
  <si>
    <t>Xu</t>
  </si>
  <si>
    <t>戌</t>
  </si>
  <si>
    <t>PC</t>
  </si>
  <si>
    <t xml:space="preserve">Common Celestial Concordance </t>
  </si>
  <si>
    <t>Yang GM</t>
  </si>
  <si>
    <t>Zai Quan</t>
  </si>
  <si>
    <t>Hai</t>
  </si>
  <si>
    <t>亥</t>
  </si>
  <si>
    <t>TH</t>
  </si>
  <si>
    <t>Common Yearly Meeting</t>
  </si>
  <si>
    <t>Yin GM</t>
  </si>
  <si>
    <t>CE</t>
  </si>
  <si>
    <t>Div</t>
  </si>
  <si>
    <t>Phase 1</t>
  </si>
  <si>
    <t>BaZi</t>
  </si>
  <si>
    <t>DE Branch</t>
  </si>
  <si>
    <t>Guest EL</t>
  </si>
  <si>
    <t>Host EL</t>
  </si>
  <si>
    <t>Guest Qi</t>
  </si>
  <si>
    <t>Host Qi</t>
  </si>
  <si>
    <t>Moon Age</t>
  </si>
  <si>
    <t>Concordance</t>
  </si>
  <si>
    <t>Quality</t>
  </si>
  <si>
    <t>Element</t>
  </si>
  <si>
    <t>Stem</t>
  </si>
  <si>
    <t>Yang</t>
  </si>
  <si>
    <t>H</t>
  </si>
  <si>
    <t>Winter</t>
  </si>
  <si>
    <t>3 leg yin left (SP)</t>
  </si>
  <si>
    <t>S</t>
  </si>
  <si>
    <t>I</t>
  </si>
  <si>
    <t>3 leg yin left (KI)</t>
  </si>
  <si>
    <t>.</t>
  </si>
  <si>
    <t>D</t>
  </si>
  <si>
    <t>Spring</t>
  </si>
  <si>
    <t>3 leg yang left (GB)</t>
  </si>
  <si>
    <t>P</t>
  </si>
  <si>
    <t>3 leg yang left (BL)</t>
  </si>
  <si>
    <t>R</t>
  </si>
  <si>
    <t>E</t>
  </si>
  <si>
    <t>3 leg yang left (ST)</t>
  </si>
  <si>
    <t>O</t>
  </si>
  <si>
    <t>N</t>
  </si>
  <si>
    <t>Summer</t>
  </si>
  <si>
    <t>3 leg yang right (ST)</t>
  </si>
  <si>
    <t>3 leg yang right (BL)</t>
  </si>
  <si>
    <t>B</t>
  </si>
  <si>
    <t>3 leg yang right (GB)</t>
  </si>
  <si>
    <t>T</t>
  </si>
  <si>
    <t>Autumn</t>
  </si>
  <si>
    <t>3 leg yin right (KI)</t>
  </si>
  <si>
    <t>3 leg yin right (SP)</t>
  </si>
  <si>
    <t>M</t>
  </si>
  <si>
    <t>3 leg yin right (LIV)</t>
  </si>
  <si>
    <t>3 leg yin left (LIV)</t>
  </si>
  <si>
    <t xml:space="preserve"> Year Stem</t>
  </si>
  <si>
    <t xml:space="preserve"> Month Stem</t>
  </si>
  <si>
    <t xml:space="preserve"> Hour Stem</t>
  </si>
  <si>
    <t xml:space="preserve"> Year Branch</t>
  </si>
  <si>
    <t xml:space="preserve"> Month Branch</t>
  </si>
  <si>
    <t xml:space="preserve"> Day Branch</t>
  </si>
  <si>
    <t xml:space="preserve"> Hour Branch</t>
  </si>
  <si>
    <t xml:space="preserve"> Stems Count</t>
  </si>
  <si>
    <t xml:space="preserve"> Branches Count</t>
  </si>
  <si>
    <t>Phase 2</t>
  </si>
  <si>
    <t>10 Shen</t>
  </si>
  <si>
    <t>Friend</t>
  </si>
  <si>
    <t>Rob Wealth</t>
  </si>
  <si>
    <t>Eating God</t>
  </si>
  <si>
    <t>Hurting Officer</t>
  </si>
  <si>
    <t>Indirect Wealth</t>
  </si>
  <si>
    <t>Direct Wealth</t>
  </si>
  <si>
    <t>Qi Sha</t>
  </si>
  <si>
    <t>Direct Officer</t>
  </si>
  <si>
    <t>Indirect Resource</t>
  </si>
  <si>
    <t>Direct Resource</t>
  </si>
  <si>
    <t>G</t>
  </si>
  <si>
    <t>Phase 3</t>
  </si>
  <si>
    <t>DM</t>
  </si>
  <si>
    <t>Year EB</t>
  </si>
  <si>
    <t>Month EB</t>
  </si>
  <si>
    <t>Day EB</t>
  </si>
  <si>
    <t>Hour EB</t>
  </si>
  <si>
    <t>TOTAL</t>
  </si>
  <si>
    <t>%</t>
  </si>
  <si>
    <t>Open Hourly Points</t>
  </si>
  <si>
    <t>BaZi OHP</t>
  </si>
  <si>
    <t>Zi Wu Liu Zhu</t>
  </si>
  <si>
    <t>Ton</t>
  </si>
  <si>
    <t>Sed</t>
  </si>
  <si>
    <t>Stem 5 Unions</t>
  </si>
  <si>
    <t xml:space="preserve"> </t>
  </si>
  <si>
    <t>SI2</t>
  </si>
  <si>
    <t>Co3/SI4</t>
  </si>
  <si>
    <t>GB38</t>
  </si>
  <si>
    <t>St36</t>
  </si>
  <si>
    <t>TH1</t>
  </si>
  <si>
    <t>TH3</t>
  </si>
  <si>
    <t>Liv2</t>
  </si>
  <si>
    <t>Sp3/Liv3</t>
  </si>
  <si>
    <t>Ki7</t>
  </si>
  <si>
    <t>Ht3</t>
  </si>
  <si>
    <t>Pc3</t>
  </si>
  <si>
    <t>GB43</t>
  </si>
  <si>
    <t>St43/GB40</t>
  </si>
  <si>
    <t>BL60</t>
  </si>
  <si>
    <t>SI8</t>
  </si>
  <si>
    <t>TH10</t>
  </si>
  <si>
    <t>BL67</t>
  </si>
  <si>
    <t>Liv8</t>
  </si>
  <si>
    <t>Lu5</t>
  </si>
  <si>
    <t>Ht7/Ki3/Pc7</t>
  </si>
  <si>
    <t>Lu8</t>
  </si>
  <si>
    <t>Pc5</t>
  </si>
  <si>
    <t>Lu11</t>
  </si>
  <si>
    <t>Lu9</t>
  </si>
  <si>
    <t>Co2</t>
  </si>
  <si>
    <t>Co5</t>
  </si>
  <si>
    <t>GB34</t>
  </si>
  <si>
    <t>TH6</t>
  </si>
  <si>
    <t>Co1</t>
  </si>
  <si>
    <t>Co11</t>
  </si>
  <si>
    <t>St45</t>
  </si>
  <si>
    <t>Sp5</t>
  </si>
  <si>
    <t>Ki10</t>
  </si>
  <si>
    <t>Pc7</t>
  </si>
  <si>
    <t>Sp1</t>
  </si>
  <si>
    <t>Ki2</t>
  </si>
  <si>
    <t>St41</t>
  </si>
  <si>
    <t>BL54</t>
  </si>
  <si>
    <t>Bl66</t>
  </si>
  <si>
    <t>SI3/BL64/TH4</t>
  </si>
  <si>
    <t>Sp2</t>
  </si>
  <si>
    <t>Ht7</t>
  </si>
  <si>
    <t>Pc8</t>
  </si>
  <si>
    <t>Ht9</t>
  </si>
  <si>
    <t>Lu10</t>
  </si>
  <si>
    <t>Liv3/Lu9</t>
  </si>
  <si>
    <t>TH2</t>
  </si>
  <si>
    <t>SI1</t>
  </si>
  <si>
    <t>GB41/Co4</t>
  </si>
  <si>
    <t>SI3</t>
  </si>
  <si>
    <t>BL65</t>
  </si>
  <si>
    <t>Pc9</t>
  </si>
  <si>
    <t>Liv1</t>
  </si>
  <si>
    <t>Ki3/Sp3</t>
  </si>
  <si>
    <t>Ht4</t>
  </si>
  <si>
    <t>Ki1</t>
  </si>
  <si>
    <t>GB44</t>
  </si>
  <si>
    <t>St44</t>
  </si>
  <si>
    <t>BL65/St42</t>
  </si>
  <si>
    <t>SI5</t>
  </si>
  <si>
    <t>Ht8</t>
  </si>
  <si>
    <t>Lu9/Ht7</t>
  </si>
  <si>
    <t>Liv4</t>
  </si>
  <si>
    <t>Sp9</t>
  </si>
  <si>
    <t>Main Pt</t>
  </si>
  <si>
    <t>Aux Pt</t>
  </si>
  <si>
    <t>Ton. Pt</t>
  </si>
  <si>
    <t>Sed. Pt</t>
  </si>
  <si>
    <t>Ling Gui Ba Fa 1</t>
  </si>
  <si>
    <t>Forbidden Channels</t>
  </si>
  <si>
    <t>Forb. (LS)</t>
  </si>
  <si>
    <t>Forb. (vB)</t>
  </si>
  <si>
    <t>Forb. Areas</t>
  </si>
  <si>
    <t>JiaZi</t>
  </si>
  <si>
    <t>Pc6</t>
  </si>
  <si>
    <t>Sp4</t>
  </si>
  <si>
    <t>GB41</t>
  </si>
  <si>
    <t>Ki6</t>
  </si>
  <si>
    <t>Lu7</t>
  </si>
  <si>
    <t>TH5</t>
  </si>
  <si>
    <t>Bl62</t>
  </si>
  <si>
    <t>TH - L</t>
  </si>
  <si>
    <t>SP - L</t>
  </si>
  <si>
    <t/>
  </si>
  <si>
    <t>YiChou</t>
  </si>
  <si>
    <t>SI - L</t>
  </si>
  <si>
    <t>KI - L</t>
  </si>
  <si>
    <t>BingYin</t>
  </si>
  <si>
    <t>CO - L</t>
  </si>
  <si>
    <t>GB - L</t>
  </si>
  <si>
    <t>DingMao</t>
  </si>
  <si>
    <t>CO - R</t>
  </si>
  <si>
    <t>BL - L</t>
  </si>
  <si>
    <t>WuChen</t>
  </si>
  <si>
    <t>SI - R</t>
  </si>
  <si>
    <t>ST - L</t>
  </si>
  <si>
    <t>Fu / L hand</t>
  </si>
  <si>
    <t>JiSi</t>
  </si>
  <si>
    <t>TH - R</t>
  </si>
  <si>
    <t>ST - R</t>
  </si>
  <si>
    <t>GengWu</t>
  </si>
  <si>
    <t>HT - R</t>
  </si>
  <si>
    <t>BL - R</t>
  </si>
  <si>
    <t>XinWei</t>
  </si>
  <si>
    <t>LU - R</t>
  </si>
  <si>
    <t>GB - R</t>
  </si>
  <si>
    <t>RenShen</t>
  </si>
  <si>
    <t>LU - L</t>
  </si>
  <si>
    <t>KI - R</t>
  </si>
  <si>
    <t>GuiYou</t>
  </si>
  <si>
    <t>HT - L</t>
  </si>
  <si>
    <t>SP - R</t>
  </si>
  <si>
    <t>JiaXu</t>
  </si>
  <si>
    <t>LIV - R</t>
  </si>
  <si>
    <t>YiHai</t>
  </si>
  <si>
    <t>LIV - L</t>
  </si>
  <si>
    <t>BingZi</t>
  </si>
  <si>
    <t>DingChou</t>
  </si>
  <si>
    <t>WuYin</t>
  </si>
  <si>
    <t>Fu / L foot</t>
  </si>
  <si>
    <t>JiMao</t>
  </si>
  <si>
    <t>Fu</t>
  </si>
  <si>
    <t>GengChen</t>
  </si>
  <si>
    <t>XinSi</t>
  </si>
  <si>
    <t>RenWu</t>
  </si>
  <si>
    <t>GuiWei</t>
  </si>
  <si>
    <t>JiaShen</t>
  </si>
  <si>
    <t>YiYou</t>
  </si>
  <si>
    <t>BingXu</t>
  </si>
  <si>
    <t>DingHai</t>
  </si>
  <si>
    <t>WuZi</t>
  </si>
  <si>
    <t>JiChou</t>
  </si>
  <si>
    <t>GengYin</t>
  </si>
  <si>
    <t>XinMao</t>
  </si>
  <si>
    <t>RenChen</t>
  </si>
  <si>
    <t>GuiSi</t>
  </si>
  <si>
    <t>JiaWu</t>
  </si>
  <si>
    <t>GB4</t>
  </si>
  <si>
    <t>YiWei</t>
  </si>
  <si>
    <t>BingShen</t>
  </si>
  <si>
    <t>DingYou</t>
  </si>
  <si>
    <t>WuXu</t>
  </si>
  <si>
    <t>Fu / R foot</t>
  </si>
  <si>
    <t>JiHai</t>
  </si>
  <si>
    <t>GengZi</t>
  </si>
  <si>
    <t>XinChou</t>
  </si>
  <si>
    <t>RenYin</t>
  </si>
  <si>
    <t>GuiMao</t>
  </si>
  <si>
    <t>JiaChen</t>
  </si>
  <si>
    <t>YiSi</t>
  </si>
  <si>
    <t>BingWu</t>
  </si>
  <si>
    <t>Chest, throat, head, face</t>
  </si>
  <si>
    <t>DingWei</t>
  </si>
  <si>
    <t>WuShen</t>
  </si>
  <si>
    <t>Fu / R hand</t>
  </si>
  <si>
    <t>JiYou</t>
  </si>
  <si>
    <t>GengXu</t>
  </si>
  <si>
    <t>XinHai</t>
  </si>
  <si>
    <t>RenZi</t>
  </si>
  <si>
    <t>Loins, hips, lower openings</t>
  </si>
  <si>
    <t>GuiChou</t>
  </si>
  <si>
    <t>JiaYin</t>
  </si>
  <si>
    <t>YiMao</t>
  </si>
  <si>
    <t>L ribs</t>
  </si>
  <si>
    <t>BingChen</t>
  </si>
  <si>
    <t>DingSi</t>
  </si>
  <si>
    <t>WuWu</t>
  </si>
  <si>
    <t>NO ACUPUNCTURE</t>
  </si>
  <si>
    <t>JiWei</t>
  </si>
  <si>
    <t>GengShen</t>
  </si>
  <si>
    <t>XinYou</t>
  </si>
  <si>
    <t>R ribs</t>
  </si>
  <si>
    <t>RenXu</t>
  </si>
  <si>
    <t>GuiHai</t>
  </si>
  <si>
    <t xml:space="preserve">LGBF point </t>
  </si>
  <si>
    <t xml:space="preserve">Forbidden for the day: </t>
  </si>
  <si>
    <t>Arm:</t>
  </si>
  <si>
    <t>Leg vB:</t>
  </si>
  <si>
    <t>→</t>
  </si>
  <si>
    <t>Leg (seasonal)</t>
  </si>
  <si>
    <t>Region:</t>
  </si>
  <si>
    <t>Du Mai</t>
  </si>
  <si>
    <t>BL62</t>
  </si>
  <si>
    <t>Yang Qiao Mai</t>
  </si>
  <si>
    <t>Ren Mai</t>
  </si>
  <si>
    <t>Yin Qiao Mai</t>
  </si>
  <si>
    <t>Chong Mai</t>
  </si>
  <si>
    <t>Yin Wei Mai</t>
  </si>
  <si>
    <t>Dai Mai</t>
  </si>
  <si>
    <t>Yang Wei Mai</t>
  </si>
  <si>
    <t>Ling Gui Ba Fa 2</t>
  </si>
  <si>
    <t>Day</t>
  </si>
  <si>
    <t>Hour</t>
  </si>
  <si>
    <t>Polarity</t>
  </si>
  <si>
    <t>KI6</t>
  </si>
  <si>
    <t xml:space="preserve">Stem </t>
  </si>
  <si>
    <t xml:space="preserve">Branch </t>
  </si>
  <si>
    <t xml:space="preserve">Total </t>
  </si>
  <si>
    <t>SP4</t>
  </si>
  <si>
    <t>Total S/B</t>
  </si>
  <si>
    <t>Diveder</t>
  </si>
  <si>
    <t>Remainder</t>
  </si>
  <si>
    <t>OHP</t>
  </si>
  <si>
    <t>Hsiu</t>
  </si>
  <si>
    <t>Animal</t>
  </si>
  <si>
    <t>Direction</t>
  </si>
  <si>
    <t>Planet</t>
  </si>
  <si>
    <t>Elts</t>
  </si>
  <si>
    <t>Crocodile</t>
  </si>
  <si>
    <t>East</t>
  </si>
  <si>
    <t>Jupiter</t>
  </si>
  <si>
    <t>Gb41/Liv1  Co3/Lu11</t>
  </si>
  <si>
    <t>Dragon</t>
  </si>
  <si>
    <t>Venus</t>
  </si>
  <si>
    <t>Gb44/Liv4  Co1/Lu8</t>
  </si>
  <si>
    <t>Badger</t>
  </si>
  <si>
    <t>Saturn</t>
  </si>
  <si>
    <t>Gb34/Liv3  Co11/Lu9</t>
  </si>
  <si>
    <t>Hare</t>
  </si>
  <si>
    <t>Sun</t>
  </si>
  <si>
    <t>Gb37/Liv3  Co6/Lu9  St40/Th5  Sp3/Hc7</t>
  </si>
  <si>
    <t>Fox</t>
  </si>
  <si>
    <t>Moon</t>
  </si>
  <si>
    <t>Gb40/Liv5  Co4/Lu7  St42/Th4  Sp4/Hc6</t>
  </si>
  <si>
    <t>Tiger</t>
  </si>
  <si>
    <t>Mars</t>
  </si>
  <si>
    <t>Gb38/Liv2  Co5/Lu10</t>
  </si>
  <si>
    <t>Leopard</t>
  </si>
  <si>
    <t>Mercury</t>
  </si>
  <si>
    <t>Gb43/Liv8  Co2/Lu5</t>
  </si>
  <si>
    <t>Unicorn</t>
  </si>
  <si>
    <t>North</t>
  </si>
  <si>
    <t>Bl65/Ki1     Si3,Ht9</t>
  </si>
  <si>
    <t>Buffalo</t>
  </si>
  <si>
    <t>Bl67/Ki7     Si1,Ht4</t>
  </si>
  <si>
    <t>Bat</t>
  </si>
  <si>
    <t>Bl54/Ki3     Si8/Ht7</t>
  </si>
  <si>
    <t>Rat</t>
  </si>
  <si>
    <t>Bl58/Ki3     Si7/Ht7     St40/Th5  Sp3/Hc7</t>
  </si>
  <si>
    <t>Swallow</t>
  </si>
  <si>
    <t>Bl64,Ki4     Si4/Ht5     St42/Th4  Sp4/Hc6</t>
  </si>
  <si>
    <t>Pig</t>
  </si>
  <si>
    <t>Bl60/Ki2     Si5/Ht8</t>
  </si>
  <si>
    <t>Porcupine</t>
  </si>
  <si>
    <t>Bl66/Ki10   Si2/Ht3</t>
  </si>
  <si>
    <t>Wolf</t>
  </si>
  <si>
    <t>West</t>
  </si>
  <si>
    <t>Co3/Lu11   Gb41/liv1</t>
  </si>
  <si>
    <t>Dog</t>
  </si>
  <si>
    <t>Co1/Lu8     Gb44/Liv4</t>
  </si>
  <si>
    <t>Pheasant</t>
  </si>
  <si>
    <t>Co11/Lu9   Gb34/liv3</t>
  </si>
  <si>
    <t>Cock</t>
  </si>
  <si>
    <t>Co6/Lu9     Gb37/Liv3  St40/Th5  Sp3/Hc7</t>
  </si>
  <si>
    <t>Crow</t>
  </si>
  <si>
    <t>Co4/Lu7     Gb40/Liv5  St42/Th4  Sp4/Hc6</t>
  </si>
  <si>
    <t>Monkey</t>
  </si>
  <si>
    <t>Co5/Lu10   Gb38/Liv2</t>
  </si>
  <si>
    <t>Gibbon</t>
  </si>
  <si>
    <t>Co2/Lu5     Gb43/Liv8</t>
  </si>
  <si>
    <t>Tapir</t>
  </si>
  <si>
    <t>South</t>
  </si>
  <si>
    <t>Si3/Ht9        Bl65/Ki1</t>
  </si>
  <si>
    <t>Goat</t>
  </si>
  <si>
    <t>Si1/Ht4        Bl67/Ki7</t>
  </si>
  <si>
    <t>Buck</t>
  </si>
  <si>
    <t>Si8/Ht7        Bl54/Ki3</t>
  </si>
  <si>
    <t>Horse</t>
  </si>
  <si>
    <t>Si7/Ht7        Bl58/Ki3    St40/Th5  Sp3/Hc7</t>
  </si>
  <si>
    <t>Stag</t>
  </si>
  <si>
    <t>Si4/Ht5        Bl64/Ki4    St42/Th4  Sp4/Hc6</t>
  </si>
  <si>
    <t>Snake</t>
  </si>
  <si>
    <t>Si5/Ht8        Bl60/Ki2</t>
  </si>
  <si>
    <t>Earthworm</t>
  </si>
  <si>
    <t>Si2/Ht3        Bl66/Ki10</t>
  </si>
  <si>
    <t>Hsiu key:</t>
  </si>
  <si>
    <t>Calculations</t>
  </si>
  <si>
    <t>Kong</t>
  </si>
  <si>
    <t>Year</t>
  </si>
  <si>
    <t>Year:</t>
  </si>
  <si>
    <t>Corr key:</t>
  </si>
  <si>
    <t>Key no:</t>
  </si>
  <si>
    <t>Corr:</t>
  </si>
  <si>
    <t>Stem key:</t>
  </si>
  <si>
    <t>Branch Key:</t>
  </si>
  <si>
    <t>Division key:</t>
  </si>
  <si>
    <t>Stem:</t>
  </si>
  <si>
    <t>Branch:</t>
  </si>
  <si>
    <t>Adjusted:</t>
  </si>
  <si>
    <t>Division</t>
  </si>
  <si>
    <t>Months:</t>
  </si>
  <si>
    <t>Month</t>
  </si>
  <si>
    <t>Month No:</t>
  </si>
  <si>
    <t>Branch No:</t>
  </si>
  <si>
    <t>Branch key:</t>
  </si>
  <si>
    <t>Adj:</t>
  </si>
  <si>
    <t>Adjusted no:</t>
  </si>
  <si>
    <t>Day OHP</t>
  </si>
  <si>
    <t>Hour No:</t>
  </si>
  <si>
    <t>Adj.</t>
  </si>
  <si>
    <t>Hour OHP</t>
  </si>
  <si>
    <t>Next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</si>
</sst>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"/>
  </numFmts>
  <fonts count="55" x14ac:knownFonts="1">
    <font>
      <sz val="9"/>
      <name val="Geneva"/>
      <family val="2"/>
    </font>
    <font>
      <sz val="9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name val="Calibri"/>
      <family val="2"/>
      <scheme val="minor"/>
    </font>
    <font>
      <sz val="9"/>
      <color indexed="10"/>
      <name val="Calibri"/>
      <family val="2"/>
      <scheme val="minor"/>
    </font>
    <font>
      <u/>
      <sz val="9"/>
      <color indexed="10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name val="Calibri"/>
      <family val="2"/>
      <scheme val="minor"/>
    </font>
    <font>
      <sz val="12"/>
      <name val="Calibri"/>
      <family val="2"/>
      <charset val="1"/>
    </font>
    <font>
      <b/>
      <sz val="12"/>
      <name val="Calibri"/>
      <family val="2"/>
      <charset val="1"/>
    </font>
    <font>
      <sz val="9"/>
      <name val="Calibri"/>
      <family val="2"/>
      <charset val="1"/>
    </font>
    <font>
      <b/>
      <sz val="10"/>
      <color indexed="8"/>
      <name val="Calibri"/>
      <family val="2"/>
      <charset val="1"/>
    </font>
    <font>
      <sz val="9"/>
      <name val="Geneva"/>
      <family val="2"/>
    </font>
    <font>
      <b/>
      <sz val="10"/>
      <name val="Calibri"/>
      <family val="2"/>
    </font>
    <font>
      <sz val="12"/>
      <color indexed="8"/>
      <name val="Calibri"/>
      <family val="2"/>
      <charset val="1"/>
    </font>
    <font>
      <b/>
      <sz val="12"/>
      <color indexed="8"/>
      <name val="Calibri"/>
      <family val="2"/>
    </font>
    <font>
      <sz val="24"/>
      <color indexed="8"/>
      <name val="SimSun"/>
      <charset val="134"/>
    </font>
    <font>
      <sz val="11"/>
      <color indexed="8"/>
      <name val="Calibri"/>
      <family val="2"/>
      <charset val="1"/>
    </font>
    <font>
      <sz val="12"/>
      <name val="Calibri"/>
      <family val="2"/>
    </font>
    <font>
      <b/>
      <sz val="12"/>
      <name val="Calibri"/>
      <family val="2"/>
    </font>
    <font>
      <b/>
      <sz val="12"/>
      <color indexed="8"/>
      <name val="Calibri"/>
      <family val="2"/>
      <charset val="1"/>
    </font>
    <font>
      <sz val="9"/>
      <name val="Calibri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rgb="FFFF0000"/>
      <name val="Calibri"/>
      <family val="2"/>
    </font>
    <font>
      <b/>
      <sz val="14"/>
      <color theme="9" tint="-0.249977111117893"/>
      <name val="Calibri"/>
      <family val="2"/>
    </font>
    <font>
      <b/>
      <sz val="14"/>
      <color theme="4" tint="-0.249977111117893"/>
      <name val="Calibri"/>
      <family val="2"/>
    </font>
    <font>
      <b/>
      <sz val="14"/>
      <color rgb="FFFFC000"/>
      <name val="Calibri"/>
      <family val="2"/>
    </font>
    <font>
      <b/>
      <sz val="14"/>
      <color theme="2" tint="-0.249977111117893"/>
      <name val="Calibri"/>
      <family val="2"/>
    </font>
    <font>
      <sz val="9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</font>
    <font>
      <sz val="8"/>
      <name val="Calibri"/>
      <family val="2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sz val="9"/>
      <color rgb="FFFF0000"/>
      <name val="Calibri"/>
      <family val="2"/>
      <scheme val="minor"/>
    </font>
    <font>
      <u val="double"/>
      <sz val="12"/>
      <name val="Calibri"/>
      <family val="2"/>
      <charset val="1"/>
    </font>
    <font>
      <sz val="10"/>
      <name val="Calibri"/>
      <family val="2"/>
      <charset val="1"/>
    </font>
    <font>
      <sz val="11"/>
      <name val="Calibri"/>
      <family val="2"/>
      <charset val="1"/>
    </font>
    <font>
      <sz val="11"/>
      <name val="SimSun"/>
      <charset val="134"/>
    </font>
    <font>
      <b/>
      <sz val="9"/>
      <color theme="4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sz val="9"/>
      <name val="Microsoft YaHei UI Light"/>
      <family val="2"/>
    </font>
    <font>
      <b/>
      <sz val="8"/>
      <name val="Calibri"/>
      <family val="2"/>
      <scheme val="minor"/>
    </font>
    <font>
      <b/>
      <sz val="16"/>
      <color theme="1" tint="0.499984740745262"/>
      <name val="SimSun"/>
      <charset val="134"/>
    </font>
    <font>
      <sz val="9"/>
      <color rgb="FF00B050"/>
      <name val="Calibri"/>
      <family val="2"/>
      <scheme val="minor"/>
    </font>
    <font>
      <sz val="18"/>
      <color theme="0" tint="-0.499984740745262"/>
      <name val="Calibri Light"/>
      <family val="2"/>
    </font>
    <font>
      <b/>
      <sz val="12"/>
      <color theme="2" tint="-0.499984740745262"/>
      <name val="Calibri"/>
      <family val="2"/>
      <charset val="1"/>
    </font>
    <font>
      <sz val="12"/>
      <color theme="1" tint="0.34998626667073579"/>
      <name val="Calibri"/>
      <family val="2"/>
    </font>
    <font>
      <sz val="12"/>
      <color theme="1" tint="0.499984740745262"/>
      <name val="Calibri"/>
      <family val="2"/>
    </font>
    <font>
      <sz val="9"/>
      <color indexed="8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EEEEEE"/>
        <bgColor indexed="9"/>
      </patternFill>
    </fill>
    <fill>
      <patternFill patternType="solid">
        <fgColor rgb="FFF0B2B2"/>
        <bgColor indexed="9"/>
      </patternFill>
    </fill>
    <fill>
      <patternFill patternType="solid">
        <fgColor rgb="FFFFD966"/>
        <bgColor indexed="9"/>
      </patternFill>
    </fill>
    <fill>
      <patternFill patternType="solid">
        <fgColor rgb="FFA9D08E"/>
        <bgColor indexed="9"/>
      </patternFill>
    </fill>
    <fill>
      <patternFill patternType="solid">
        <fgColor rgb="FFF0B2B2"/>
        <bgColor indexed="64"/>
      </patternFill>
    </fill>
    <fill>
      <patternFill patternType="solid">
        <fgColor rgb="FFB4C6E7"/>
        <bgColor indexed="9"/>
      </patternFill>
    </fill>
    <fill>
      <patternFill patternType="solid">
        <fgColor rgb="FFB4C6E7"/>
        <bgColor indexed="64"/>
      </patternFill>
    </fill>
    <fill>
      <patternFill patternType="solid">
        <fgColor rgb="FFFFFFFF"/>
        <bgColor indexed="9"/>
      </patternFill>
    </fill>
    <fill>
      <patternFill patternType="solid">
        <fgColor rgb="FFA9D08E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/>
      <top/>
      <bottom style="mediumDashed">
        <color indexed="64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indexed="64"/>
      </bottom>
      <diagonal/>
    </border>
  </borders>
  <cellStyleXfs count="1">
    <xf numFmtId="0" fontId="0" fillId="0" borderId="0"/>
  </cellStyleXfs>
  <cellXfs count="296">
    <xf numFmtId="0" fontId="0" fillId="0" borderId="0" xfId="0"/>
    <xf numFmtId="0" fontId="1" fillId="0" borderId="0" xfId="0" applyFont="1" applyProtection="1">
      <protection hidden="1"/>
    </xf>
    <xf numFmtId="0" fontId="3" fillId="0" borderId="0" xfId="0" applyFont="1" applyProtection="1">
      <protection hidden="1"/>
    </xf>
    <xf numFmtId="20" fontId="1" fillId="0" borderId="0" xfId="0" applyNumberFormat="1" applyFont="1" applyProtection="1">
      <protection hidden="1"/>
    </xf>
    <xf numFmtId="0" fontId="7" fillId="0" borderId="0" xfId="0" applyFont="1" applyProtection="1">
      <protection hidden="1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0" fontId="10" fillId="2" borderId="0" xfId="0" applyFont="1" applyFill="1"/>
    <xf numFmtId="0" fontId="9" fillId="2" borderId="0" xfId="0" applyFont="1" applyFill="1"/>
    <xf numFmtId="0" fontId="8" fillId="2" borderId="0" xfId="0" applyFont="1" applyFill="1" applyAlignment="1">
      <alignment vertical="center"/>
    </xf>
    <xf numFmtId="0" fontId="11" fillId="2" borderId="2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3" fillId="4" borderId="0" xfId="0" applyFont="1" applyFill="1" applyAlignment="1">
      <alignment horizontal="right" vertical="top"/>
    </xf>
    <xf numFmtId="0" fontId="8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13" fillId="2" borderId="0" xfId="0" applyFont="1" applyFill="1" applyAlignment="1">
      <alignment horizontal="right" vertical="top"/>
    </xf>
    <xf numFmtId="0" fontId="12" fillId="2" borderId="0" xfId="0" applyFont="1" applyFill="1"/>
    <xf numFmtId="0" fontId="1" fillId="0" borderId="2" xfId="0" applyFont="1" applyBorder="1" applyProtection="1">
      <protection hidden="1"/>
    </xf>
    <xf numFmtId="0" fontId="3" fillId="0" borderId="2" xfId="0" applyFont="1" applyBorder="1" applyProtection="1">
      <protection hidden="1"/>
    </xf>
    <xf numFmtId="0" fontId="21" fillId="0" borderId="0" xfId="0" applyFont="1" applyAlignment="1">
      <alignment horizontal="left" vertical="center" wrapText="1"/>
    </xf>
    <xf numFmtId="0" fontId="22" fillId="0" borderId="0" xfId="0" applyFont="1" applyProtection="1">
      <protection hidden="1"/>
    </xf>
    <xf numFmtId="0" fontId="23" fillId="0" borderId="0" xfId="0" applyFont="1" applyProtection="1">
      <protection hidden="1"/>
    </xf>
    <xf numFmtId="20" fontId="11" fillId="2" borderId="2" xfId="0" applyNumberFormat="1" applyFont="1" applyFill="1" applyBorder="1" applyAlignment="1">
      <alignment horizontal="center" vertical="center"/>
    </xf>
    <xf numFmtId="0" fontId="1" fillId="0" borderId="0" xfId="0" applyFont="1"/>
    <xf numFmtId="0" fontId="2" fillId="0" borderId="2" xfId="0" applyFont="1" applyBorder="1" applyProtection="1">
      <protection hidden="1"/>
    </xf>
    <xf numFmtId="0" fontId="3" fillId="0" borderId="0" xfId="0" applyFont="1"/>
    <xf numFmtId="0" fontId="24" fillId="0" borderId="0" xfId="0" applyFont="1"/>
    <xf numFmtId="0" fontId="1" fillId="0" borderId="0" xfId="0" applyFont="1" applyAlignment="1">
      <alignment horizontal="center"/>
    </xf>
    <xf numFmtId="0" fontId="25" fillId="0" borderId="2" xfId="0" applyFont="1" applyBorder="1" applyProtection="1">
      <protection hidden="1"/>
    </xf>
    <xf numFmtId="0" fontId="8" fillId="2" borderId="0" xfId="0" applyFont="1" applyFill="1" applyAlignment="1">
      <alignment vertical="top"/>
    </xf>
    <xf numFmtId="0" fontId="8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 vertical="top"/>
    </xf>
    <xf numFmtId="0" fontId="1" fillId="0" borderId="0" xfId="0" applyFont="1" applyAlignment="1">
      <alignment horizontal="right"/>
    </xf>
    <xf numFmtId="0" fontId="14" fillId="2" borderId="0" xfId="0" applyFont="1" applyFill="1" applyAlignment="1">
      <alignment horizontal="right"/>
    </xf>
    <xf numFmtId="0" fontId="18" fillId="2" borderId="0" xfId="0" applyFont="1" applyFill="1" applyAlignment="1">
      <alignment horizontal="center"/>
    </xf>
    <xf numFmtId="0" fontId="19" fillId="2" borderId="0" xfId="0" applyFont="1" applyFill="1"/>
    <xf numFmtId="0" fontId="19" fillId="4" borderId="0" xfId="0" applyFont="1" applyFill="1"/>
    <xf numFmtId="0" fontId="1" fillId="0" borderId="2" xfId="0" applyFont="1" applyBorder="1"/>
    <xf numFmtId="0" fontId="1" fillId="6" borderId="2" xfId="0" applyFont="1" applyFill="1" applyBorder="1"/>
    <xf numFmtId="0" fontId="1" fillId="0" borderId="6" xfId="0" applyFont="1" applyBorder="1" applyProtection="1">
      <protection hidden="1"/>
    </xf>
    <xf numFmtId="0" fontId="31" fillId="6" borderId="12" xfId="0" applyFont="1" applyFill="1" applyBorder="1"/>
    <xf numFmtId="0" fontId="1" fillId="6" borderId="13" xfId="0" applyFont="1" applyFill="1" applyBorder="1" applyProtection="1">
      <protection hidden="1"/>
    </xf>
    <xf numFmtId="0" fontId="1" fillId="6" borderId="14" xfId="0" applyFont="1" applyFill="1" applyBorder="1" applyProtection="1">
      <protection hidden="1"/>
    </xf>
    <xf numFmtId="0" fontId="1" fillId="6" borderId="15" xfId="0" applyFont="1" applyFill="1" applyBorder="1"/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2" fillId="0" borderId="2" xfId="0" applyFont="1" applyBorder="1" applyAlignment="1" applyProtection="1">
      <alignment horizontal="right"/>
      <protection hidden="1"/>
    </xf>
    <xf numFmtId="0" fontId="1" fillId="0" borderId="2" xfId="0" applyFont="1" applyBorder="1" applyAlignment="1">
      <alignment horizontal="right"/>
    </xf>
    <xf numFmtId="0" fontId="32" fillId="0" borderId="6" xfId="0" applyFont="1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2" fillId="0" borderId="7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5" fillId="0" borderId="0" xfId="0" applyFont="1" applyProtection="1">
      <protection hidden="1"/>
    </xf>
    <xf numFmtId="0" fontId="35" fillId="0" borderId="0" xfId="0" applyFont="1"/>
    <xf numFmtId="0" fontId="36" fillId="0" borderId="0" xfId="0" applyFont="1"/>
    <xf numFmtId="0" fontId="37" fillId="0" borderId="2" xfId="0" applyFont="1" applyBorder="1" applyProtection="1">
      <protection hidden="1"/>
    </xf>
    <xf numFmtId="0" fontId="1" fillId="0" borderId="8" xfId="0" applyFont="1" applyBorder="1" applyProtection="1">
      <protection hidden="1"/>
    </xf>
    <xf numFmtId="0" fontId="21" fillId="0" borderId="2" xfId="0" applyFont="1" applyBorder="1" applyAlignment="1">
      <alignment horizontal="left" vertical="center" wrapText="1"/>
    </xf>
    <xf numFmtId="0" fontId="33" fillId="0" borderId="2" xfId="0" applyFont="1" applyBorder="1" applyAlignment="1">
      <alignment horizontal="left" vertical="center" wrapText="1"/>
    </xf>
    <xf numFmtId="0" fontId="34" fillId="0" borderId="2" xfId="0" applyFont="1" applyBorder="1" applyAlignment="1">
      <alignment horizontal="left" vertical="center" wrapText="1"/>
    </xf>
    <xf numFmtId="0" fontId="34" fillId="5" borderId="2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/>
    </xf>
    <xf numFmtId="0" fontId="24" fillId="0" borderId="2" xfId="0" applyFont="1" applyBorder="1" applyAlignment="1">
      <alignment horizontal="center"/>
    </xf>
    <xf numFmtId="0" fontId="1" fillId="0" borderId="11" xfId="0" applyFont="1" applyBorder="1" applyProtection="1">
      <protection hidden="1"/>
    </xf>
    <xf numFmtId="0" fontId="1" fillId="0" borderId="25" xfId="0" applyFont="1" applyBorder="1" applyProtection="1">
      <protection hidden="1"/>
    </xf>
    <xf numFmtId="0" fontId="1" fillId="0" borderId="26" xfId="0" applyFont="1" applyBorder="1" applyAlignment="1">
      <alignment horizontal="center"/>
    </xf>
    <xf numFmtId="0" fontId="1" fillId="0" borderId="13" xfId="0" applyFont="1" applyBorder="1" applyProtection="1">
      <protection hidden="1"/>
    </xf>
    <xf numFmtId="0" fontId="1" fillId="0" borderId="27" xfId="0" applyFont="1" applyBorder="1" applyAlignment="1">
      <alignment horizontal="center"/>
    </xf>
    <xf numFmtId="0" fontId="1" fillId="0" borderId="14" xfId="0" applyFont="1" applyBorder="1" applyProtection="1">
      <protection hidden="1"/>
    </xf>
    <xf numFmtId="0" fontId="1" fillId="0" borderId="28" xfId="0" applyFont="1" applyBorder="1" applyProtection="1">
      <protection hidden="1"/>
    </xf>
    <xf numFmtId="0" fontId="1" fillId="0" borderId="29" xfId="0" applyFont="1" applyBorder="1" applyAlignment="1">
      <alignment horizontal="center"/>
    </xf>
    <xf numFmtId="0" fontId="24" fillId="0" borderId="0" xfId="0" applyFont="1" applyProtection="1">
      <protection hidden="1"/>
    </xf>
    <xf numFmtId="0" fontId="38" fillId="0" borderId="0" xfId="0" applyFont="1" applyProtection="1">
      <protection hidden="1"/>
    </xf>
    <xf numFmtId="0" fontId="3" fillId="0" borderId="0" xfId="0" applyFont="1" applyAlignment="1" applyProtection="1">
      <alignment horizontal="right"/>
      <protection hidden="1"/>
    </xf>
    <xf numFmtId="164" fontId="3" fillId="0" borderId="0" xfId="0" applyNumberFormat="1" applyFont="1"/>
    <xf numFmtId="164" fontId="1" fillId="0" borderId="0" xfId="0" applyNumberFormat="1" applyFont="1"/>
    <xf numFmtId="164" fontId="4" fillId="0" borderId="0" xfId="0" applyNumberFormat="1" applyFont="1"/>
    <xf numFmtId="0" fontId="2" fillId="0" borderId="0" xfId="0" applyFont="1" applyAlignment="1">
      <alignment horizontal="right" vertical="center"/>
    </xf>
    <xf numFmtId="164" fontId="2" fillId="0" borderId="0" xfId="0" applyNumberFormat="1" applyFont="1" applyAlignment="1">
      <alignment horizontal="right" vertical="center"/>
    </xf>
    <xf numFmtId="164" fontId="5" fillId="0" borderId="0" xfId="0" applyNumberFormat="1" applyFont="1" applyAlignment="1">
      <alignment horizontal="right" vertical="center"/>
    </xf>
    <xf numFmtId="164" fontId="6" fillId="0" borderId="0" xfId="0" applyNumberFormat="1" applyFont="1"/>
    <xf numFmtId="0" fontId="3" fillId="6" borderId="0" xfId="0" applyFont="1" applyFill="1" applyProtection="1">
      <protection hidden="1"/>
    </xf>
    <xf numFmtId="0" fontId="18" fillId="7" borderId="0" xfId="0" applyFont="1" applyFill="1" applyAlignment="1">
      <alignment vertical="top"/>
    </xf>
    <xf numFmtId="0" fontId="38" fillId="0" borderId="0" xfId="0" applyFont="1" applyAlignment="1" applyProtection="1">
      <alignment horizontal="right"/>
      <protection hidden="1"/>
    </xf>
    <xf numFmtId="0" fontId="21" fillId="0" borderId="0" xfId="0" applyFont="1" applyAlignment="1">
      <alignment horizontal="center"/>
    </xf>
    <xf numFmtId="0" fontId="8" fillId="2" borderId="23" xfId="0" applyFont="1" applyFill="1" applyBorder="1"/>
    <xf numFmtId="2" fontId="8" fillId="2" borderId="0" xfId="0" applyNumberFormat="1" applyFont="1" applyFill="1" applyAlignment="1">
      <alignment horizontal="center" vertical="center"/>
    </xf>
    <xf numFmtId="0" fontId="39" fillId="2" borderId="0" xfId="0" applyFont="1" applyFill="1"/>
    <xf numFmtId="0" fontId="39" fillId="2" borderId="0" xfId="0" applyFont="1" applyFill="1" applyAlignment="1">
      <alignment horizontal="center" vertical="center"/>
    </xf>
    <xf numFmtId="0" fontId="14" fillId="2" borderId="23" xfId="0" applyFont="1" applyFill="1" applyBorder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right"/>
    </xf>
    <xf numFmtId="0" fontId="39" fillId="2" borderId="0" xfId="0" applyFont="1" applyFill="1" applyAlignment="1">
      <alignment horizontal="center" vertical="top"/>
    </xf>
    <xf numFmtId="0" fontId="18" fillId="2" borderId="23" xfId="0" applyFont="1" applyFill="1" applyBorder="1" applyAlignment="1">
      <alignment horizontal="center"/>
    </xf>
    <xf numFmtId="1" fontId="8" fillId="2" borderId="0" xfId="0" applyNumberFormat="1" applyFont="1" applyFill="1" applyAlignment="1">
      <alignment horizontal="left" vertical="top"/>
    </xf>
    <xf numFmtId="0" fontId="39" fillId="2" borderId="0" xfId="0" applyFont="1" applyFill="1" applyAlignment="1">
      <alignment horizontal="right" vertical="center"/>
    </xf>
    <xf numFmtId="0" fontId="39" fillId="2" borderId="0" xfId="0" applyFont="1" applyFill="1" applyAlignment="1">
      <alignment horizontal="left" vertical="center"/>
    </xf>
    <xf numFmtId="0" fontId="3" fillId="0" borderId="0" xfId="0" applyFont="1" applyAlignment="1">
      <alignment horizontal="center"/>
    </xf>
    <xf numFmtId="0" fontId="9" fillId="2" borderId="0" xfId="0" applyFont="1" applyFill="1" applyAlignment="1">
      <alignment horizontal="right" vertical="top"/>
    </xf>
    <xf numFmtId="0" fontId="3" fillId="8" borderId="2" xfId="0" applyFont="1" applyFill="1" applyBorder="1" applyProtection="1">
      <protection hidden="1"/>
    </xf>
    <xf numFmtId="0" fontId="1" fillId="8" borderId="2" xfId="0" applyFont="1" applyFill="1" applyBorder="1"/>
    <xf numFmtId="0" fontId="3" fillId="9" borderId="2" xfId="0" applyFont="1" applyFill="1" applyBorder="1" applyProtection="1">
      <protection hidden="1"/>
    </xf>
    <xf numFmtId="0" fontId="1" fillId="9" borderId="2" xfId="0" applyFont="1" applyFill="1" applyBorder="1"/>
    <xf numFmtId="0" fontId="3" fillId="10" borderId="2" xfId="0" applyFont="1" applyFill="1" applyBorder="1" applyProtection="1">
      <protection hidden="1"/>
    </xf>
    <xf numFmtId="0" fontId="1" fillId="10" borderId="2" xfId="0" applyFont="1" applyFill="1" applyBorder="1"/>
    <xf numFmtId="0" fontId="3" fillId="6" borderId="2" xfId="0" applyFont="1" applyFill="1" applyBorder="1" applyProtection="1">
      <protection hidden="1"/>
    </xf>
    <xf numFmtId="0" fontId="3" fillId="12" borderId="2" xfId="0" applyFont="1" applyFill="1" applyBorder="1" applyProtection="1">
      <protection hidden="1"/>
    </xf>
    <xf numFmtId="0" fontId="1" fillId="12" borderId="2" xfId="0" applyFont="1" applyFill="1" applyBorder="1"/>
    <xf numFmtId="0" fontId="24" fillId="11" borderId="6" xfId="0" applyFont="1" applyFill="1" applyBorder="1"/>
    <xf numFmtId="0" fontId="24" fillId="11" borderId="8" xfId="0" applyFont="1" applyFill="1" applyBorder="1"/>
    <xf numFmtId="0" fontId="1" fillId="11" borderId="6" xfId="0" applyFont="1" applyFill="1" applyBorder="1"/>
    <xf numFmtId="0" fontId="1" fillId="9" borderId="15" xfId="0" applyFont="1" applyFill="1" applyBorder="1"/>
    <xf numFmtId="0" fontId="1" fillId="10" borderId="15" xfId="0" applyFont="1" applyFill="1" applyBorder="1"/>
    <xf numFmtId="0" fontId="1" fillId="8" borderId="15" xfId="0" applyFont="1" applyFill="1" applyBorder="1"/>
    <xf numFmtId="0" fontId="1" fillId="12" borderId="15" xfId="0" applyFont="1" applyFill="1" applyBorder="1"/>
    <xf numFmtId="0" fontId="35" fillId="0" borderId="2" xfId="0" applyFont="1" applyBorder="1"/>
    <xf numFmtId="0" fontId="1" fillId="5" borderId="0" xfId="0" applyFont="1" applyFill="1" applyAlignment="1">
      <alignment horizontal="center"/>
    </xf>
    <xf numFmtId="0" fontId="37" fillId="0" borderId="0" xfId="0" applyFont="1" applyProtection="1">
      <protection hidden="1"/>
    </xf>
    <xf numFmtId="0" fontId="2" fillId="0" borderId="0" xfId="0" applyFont="1" applyProtection="1">
      <protection hidden="1"/>
    </xf>
    <xf numFmtId="0" fontId="24" fillId="9" borderId="2" xfId="0" applyFont="1" applyFill="1" applyBorder="1"/>
    <xf numFmtId="0" fontId="24" fillId="10" borderId="2" xfId="0" applyFont="1" applyFill="1" applyBorder="1"/>
    <xf numFmtId="0" fontId="24" fillId="8" borderId="2" xfId="0" applyFont="1" applyFill="1" applyBorder="1"/>
    <xf numFmtId="0" fontId="24" fillId="6" borderId="2" xfId="0" applyFont="1" applyFill="1" applyBorder="1"/>
    <xf numFmtId="0" fontId="24" fillId="12" borderId="2" xfId="0" applyFont="1" applyFill="1" applyBorder="1"/>
    <xf numFmtId="0" fontId="24" fillId="0" borderId="0" xfId="0" applyFont="1" applyAlignment="1">
      <alignment horizontal="center"/>
    </xf>
    <xf numFmtId="0" fontId="1" fillId="6" borderId="30" xfId="0" applyFont="1" applyFill="1" applyBorder="1" applyProtection="1">
      <protection hidden="1"/>
    </xf>
    <xf numFmtId="0" fontId="31" fillId="6" borderId="4" xfId="0" applyFont="1" applyFill="1" applyBorder="1"/>
    <xf numFmtId="16" fontId="1" fillId="0" borderId="2" xfId="0" applyNumberFormat="1" applyFont="1" applyBorder="1" applyProtection="1">
      <protection hidden="1"/>
    </xf>
    <xf numFmtId="14" fontId="3" fillId="0" borderId="2" xfId="0" applyNumberFormat="1" applyFont="1" applyBorder="1" applyProtection="1">
      <protection hidden="1"/>
    </xf>
    <xf numFmtId="0" fontId="3" fillId="0" borderId="2" xfId="0" applyFont="1" applyBorder="1"/>
    <xf numFmtId="14" fontId="3" fillId="0" borderId="2" xfId="0" applyNumberFormat="1" applyFont="1" applyBorder="1"/>
    <xf numFmtId="0" fontId="1" fillId="12" borderId="2" xfId="0" applyFont="1" applyFill="1" applyBorder="1" applyProtection="1">
      <protection hidden="1"/>
    </xf>
    <xf numFmtId="16" fontId="1" fillId="12" borderId="2" xfId="0" applyNumberFormat="1" applyFont="1" applyFill="1" applyBorder="1" applyProtection="1">
      <protection hidden="1"/>
    </xf>
    <xf numFmtId="14" fontId="43" fillId="0" borderId="0" xfId="0" applyNumberFormat="1" applyFont="1" applyAlignment="1">
      <alignment horizontal="left"/>
    </xf>
    <xf numFmtId="0" fontId="1" fillId="12" borderId="4" xfId="0" applyFont="1" applyFill="1" applyBorder="1" applyProtection="1">
      <protection hidden="1"/>
    </xf>
    <xf numFmtId="0" fontId="1" fillId="12" borderId="31" xfId="0" applyFont="1" applyFill="1" applyBorder="1"/>
    <xf numFmtId="0" fontId="1" fillId="12" borderId="3" xfId="0" applyFont="1" applyFill="1" applyBorder="1"/>
    <xf numFmtId="0" fontId="1" fillId="12" borderId="4" xfId="0" applyFont="1" applyFill="1" applyBorder="1"/>
    <xf numFmtId="14" fontId="3" fillId="0" borderId="8" xfId="0" applyNumberFormat="1" applyFont="1" applyBorder="1"/>
    <xf numFmtId="14" fontId="43" fillId="0" borderId="2" xfId="0" applyNumberFormat="1" applyFont="1" applyBorder="1" applyAlignment="1">
      <alignment horizontal="left"/>
    </xf>
    <xf numFmtId="0" fontId="44" fillId="0" borderId="0" xfId="0" applyFont="1" applyAlignment="1">
      <alignment horizontal="center"/>
    </xf>
    <xf numFmtId="14" fontId="45" fillId="0" borderId="0" xfId="0" applyNumberFormat="1" applyFont="1" applyAlignment="1">
      <alignment horizontal="left"/>
    </xf>
    <xf numFmtId="0" fontId="13" fillId="2" borderId="32" xfId="0" applyFont="1" applyFill="1" applyBorder="1"/>
    <xf numFmtId="0" fontId="8" fillId="2" borderId="32" xfId="0" applyFont="1" applyFill="1" applyBorder="1"/>
    <xf numFmtId="0" fontId="8" fillId="2" borderId="32" xfId="0" applyFont="1" applyFill="1" applyBorder="1" applyAlignment="1">
      <alignment vertical="top"/>
    </xf>
    <xf numFmtId="0" fontId="8" fillId="2" borderId="32" xfId="0" applyFont="1" applyFill="1" applyBorder="1" applyAlignment="1">
      <alignment horizontal="right"/>
    </xf>
    <xf numFmtId="0" fontId="41" fillId="2" borderId="32" xfId="0" applyFont="1" applyFill="1" applyBorder="1"/>
    <xf numFmtId="0" fontId="41" fillId="2" borderId="33" xfId="0" applyFont="1" applyFill="1" applyBorder="1"/>
    <xf numFmtId="0" fontId="13" fillId="2" borderId="33" xfId="0" applyFont="1" applyFill="1" applyBorder="1"/>
    <xf numFmtId="0" fontId="8" fillId="2" borderId="33" xfId="0" applyFont="1" applyFill="1" applyBorder="1" applyAlignment="1">
      <alignment vertical="top"/>
    </xf>
    <xf numFmtId="0" fontId="8" fillId="2" borderId="33" xfId="0" applyFont="1" applyFill="1" applyBorder="1"/>
    <xf numFmtId="0" fontId="8" fillId="2" borderId="32" xfId="0" applyFont="1" applyFill="1" applyBorder="1" applyAlignment="1">
      <alignment horizontal="center"/>
    </xf>
    <xf numFmtId="0" fontId="8" fillId="2" borderId="33" xfId="0" applyFont="1" applyFill="1" applyBorder="1" applyAlignment="1">
      <alignment horizontal="right"/>
    </xf>
    <xf numFmtId="0" fontId="46" fillId="4" borderId="0" xfId="0" applyFont="1" applyFill="1" applyAlignment="1">
      <alignment horizontal="center" vertical="center"/>
    </xf>
    <xf numFmtId="0" fontId="46" fillId="2" borderId="0" xfId="0" applyFont="1" applyFill="1" applyAlignment="1">
      <alignment horizontal="center" vertical="center"/>
    </xf>
    <xf numFmtId="0" fontId="46" fillId="2" borderId="0" xfId="0" applyFont="1" applyFill="1" applyAlignment="1">
      <alignment horizontal="center"/>
    </xf>
    <xf numFmtId="0" fontId="8" fillId="2" borderId="0" xfId="0" applyFont="1" applyFill="1" applyAlignment="1">
      <alignment horizontal="right" vertical="top"/>
    </xf>
    <xf numFmtId="0" fontId="1" fillId="0" borderId="2" xfId="0" applyFont="1" applyBorder="1" applyAlignment="1">
      <alignment horizontal="center"/>
    </xf>
    <xf numFmtId="0" fontId="35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0" fontId="31" fillId="0" borderId="2" xfId="0" applyFont="1" applyBorder="1" applyProtection="1">
      <protection hidden="1"/>
    </xf>
    <xf numFmtId="0" fontId="8" fillId="2" borderId="23" xfId="0" applyFont="1" applyFill="1" applyBorder="1" applyAlignment="1">
      <alignment horizontal="center"/>
    </xf>
    <xf numFmtId="0" fontId="19" fillId="2" borderId="0" xfId="0" applyFont="1" applyFill="1" applyAlignment="1">
      <alignment vertical="center"/>
    </xf>
    <xf numFmtId="0" fontId="21" fillId="2" borderId="0" xfId="0" applyFont="1" applyFill="1" applyAlignment="1">
      <alignment horizontal="right" vertical="top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/>
    </xf>
    <xf numFmtId="0" fontId="1" fillId="9" borderId="4" xfId="0" applyFont="1" applyFill="1" applyBorder="1"/>
    <xf numFmtId="0" fontId="1" fillId="10" borderId="4" xfId="0" applyFont="1" applyFill="1" applyBorder="1"/>
    <xf numFmtId="0" fontId="1" fillId="8" borderId="4" xfId="0" applyFont="1" applyFill="1" applyBorder="1"/>
    <xf numFmtId="0" fontId="1" fillId="6" borderId="4" xfId="0" applyFont="1" applyFill="1" applyBorder="1"/>
    <xf numFmtId="0" fontId="1" fillId="0" borderId="34" xfId="0" applyFont="1" applyBorder="1" applyAlignment="1">
      <alignment horizontal="left"/>
    </xf>
    <xf numFmtId="0" fontId="47" fillId="0" borderId="0" xfId="0" applyFont="1"/>
    <xf numFmtId="0" fontId="48" fillId="2" borderId="0" xfId="0" applyFont="1" applyFill="1" applyAlignment="1">
      <alignment horizontal="center" vertical="center"/>
    </xf>
    <xf numFmtId="14" fontId="1" fillId="0" borderId="0" xfId="0" applyNumberFormat="1" applyFont="1"/>
    <xf numFmtId="14" fontId="38" fillId="0" borderId="2" xfId="0" applyNumberFormat="1" applyFont="1" applyBorder="1"/>
    <xf numFmtId="0" fontId="40" fillId="2" borderId="0" xfId="0" applyFont="1" applyFill="1" applyAlignment="1">
      <alignment horizontal="center" vertical="top"/>
    </xf>
    <xf numFmtId="0" fontId="49" fillId="0" borderId="0" xfId="0" applyFont="1" applyAlignment="1">
      <alignment horizontal="center"/>
    </xf>
    <xf numFmtId="0" fontId="44" fillId="0" borderId="0" xfId="0" applyFont="1" applyAlignment="1">
      <alignment horizontal="left"/>
    </xf>
    <xf numFmtId="0" fontId="50" fillId="2" borderId="0" xfId="0" applyFont="1" applyFill="1" applyAlignment="1">
      <alignment vertical="top"/>
    </xf>
    <xf numFmtId="0" fontId="38" fillId="0" borderId="0" xfId="0" applyFont="1"/>
    <xf numFmtId="0" fontId="3" fillId="13" borderId="0" xfId="0" applyFont="1" applyFill="1" applyProtection="1">
      <protection hidden="1"/>
    </xf>
    <xf numFmtId="0" fontId="1" fillId="13" borderId="0" xfId="0" applyFont="1" applyFill="1" applyProtection="1">
      <protection hidden="1"/>
    </xf>
    <xf numFmtId="0" fontId="1" fillId="13" borderId="23" xfId="0" applyFont="1" applyFill="1" applyBorder="1" applyProtection="1">
      <protection hidden="1"/>
    </xf>
    <xf numFmtId="0" fontId="8" fillId="7" borderId="0" xfId="0" applyFont="1" applyFill="1" applyAlignment="1">
      <alignment vertical="top"/>
    </xf>
    <xf numFmtId="0" fontId="51" fillId="2" borderId="0" xfId="0" applyFont="1" applyFill="1" applyAlignment="1">
      <alignment horizontal="right"/>
    </xf>
    <xf numFmtId="0" fontId="49" fillId="0" borderId="0" xfId="0" applyFont="1"/>
    <xf numFmtId="0" fontId="8" fillId="14" borderId="0" xfId="0" applyFont="1" applyFill="1"/>
    <xf numFmtId="0" fontId="18" fillId="14" borderId="0" xfId="0" applyFont="1" applyFill="1"/>
    <xf numFmtId="0" fontId="41" fillId="2" borderId="35" xfId="0" applyFont="1" applyFill="1" applyBorder="1" applyAlignment="1">
      <alignment vertical="top"/>
    </xf>
    <xf numFmtId="0" fontId="13" fillId="2" borderId="35" xfId="0" applyFont="1" applyFill="1" applyBorder="1"/>
    <xf numFmtId="0" fontId="8" fillId="2" borderId="35" xfId="0" applyFont="1" applyFill="1" applyBorder="1"/>
    <xf numFmtId="0" fontId="8" fillId="2" borderId="35" xfId="0" applyFont="1" applyFill="1" applyBorder="1" applyAlignment="1">
      <alignment vertical="top"/>
    </xf>
    <xf numFmtId="0" fontId="8" fillId="2" borderId="35" xfId="0" applyFont="1" applyFill="1" applyBorder="1" applyAlignment="1">
      <alignment horizontal="right"/>
    </xf>
    <xf numFmtId="0" fontId="41" fillId="2" borderId="36" xfId="0" applyFont="1" applyFill="1" applyBorder="1"/>
    <xf numFmtId="0" fontId="13" fillId="2" borderId="36" xfId="0" applyFont="1" applyFill="1" applyBorder="1"/>
    <xf numFmtId="0" fontId="8" fillId="2" borderId="36" xfId="0" applyFont="1" applyFill="1" applyBorder="1"/>
    <xf numFmtId="0" fontId="8" fillId="2" borderId="36" xfId="0" applyFont="1" applyFill="1" applyBorder="1" applyAlignment="1">
      <alignment horizontal="right"/>
    </xf>
    <xf numFmtId="0" fontId="40" fillId="2" borderId="35" xfId="0" applyFont="1" applyFill="1" applyBorder="1" applyAlignment="1">
      <alignment horizontal="left"/>
    </xf>
    <xf numFmtId="0" fontId="40" fillId="2" borderId="32" xfId="0" applyFont="1" applyFill="1" applyBorder="1" applyAlignment="1">
      <alignment horizontal="left"/>
    </xf>
    <xf numFmtId="0" fontId="40" fillId="2" borderId="33" xfId="0" applyFont="1" applyFill="1" applyBorder="1" applyAlignment="1">
      <alignment horizontal="left"/>
    </xf>
    <xf numFmtId="0" fontId="40" fillId="2" borderId="36" xfId="0" applyFont="1" applyFill="1" applyBorder="1" applyAlignment="1">
      <alignment horizontal="left"/>
    </xf>
    <xf numFmtId="0" fontId="54" fillId="2" borderId="4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top"/>
    </xf>
    <xf numFmtId="0" fontId="13" fillId="2" borderId="0" xfId="0" applyFont="1" applyFill="1" applyAlignment="1">
      <alignment horizontal="left"/>
    </xf>
    <xf numFmtId="0" fontId="13" fillId="2" borderId="23" xfId="0" applyFont="1" applyFill="1" applyBorder="1" applyAlignment="1">
      <alignment horizontal="center"/>
    </xf>
    <xf numFmtId="0" fontId="40" fillId="2" borderId="0" xfId="0" applyFont="1" applyFill="1" applyAlignment="1">
      <alignment horizontal="right"/>
    </xf>
    <xf numFmtId="0" fontId="13" fillId="14" borderId="0" xfId="0" applyFont="1" applyFill="1" applyAlignment="1">
      <alignment vertical="center"/>
    </xf>
    <xf numFmtId="0" fontId="18" fillId="14" borderId="0" xfId="0" applyFont="1" applyFill="1" applyAlignment="1">
      <alignment vertical="center"/>
    </xf>
    <xf numFmtId="0" fontId="41" fillId="14" borderId="0" xfId="0" applyFont="1" applyFill="1"/>
    <xf numFmtId="0" fontId="13" fillId="14" borderId="0" xfId="0" applyFont="1" applyFill="1"/>
    <xf numFmtId="0" fontId="40" fillId="14" borderId="0" xfId="0" applyFont="1" applyFill="1" applyAlignment="1">
      <alignment horizontal="left"/>
    </xf>
    <xf numFmtId="0" fontId="8" fillId="14" borderId="0" xfId="0" applyFont="1" applyFill="1" applyAlignment="1">
      <alignment horizontal="right"/>
    </xf>
    <xf numFmtId="0" fontId="8" fillId="14" borderId="0" xfId="0" applyFont="1" applyFill="1" applyAlignment="1">
      <alignment vertical="top"/>
    </xf>
    <xf numFmtId="0" fontId="19" fillId="14" borderId="0" xfId="0" applyFont="1" applyFill="1"/>
    <xf numFmtId="0" fontId="19" fillId="14" borderId="0" xfId="0" applyFont="1" applyFill="1" applyAlignment="1">
      <alignment vertical="center"/>
    </xf>
    <xf numFmtId="0" fontId="53" fillId="14" borderId="0" xfId="0" applyFont="1" applyFill="1" applyAlignment="1">
      <alignment vertical="center"/>
    </xf>
    <xf numFmtId="0" fontId="52" fillId="14" borderId="0" xfId="0" applyFont="1" applyFill="1" applyAlignment="1">
      <alignment vertical="center"/>
    </xf>
    <xf numFmtId="0" fontId="52" fillId="14" borderId="0" xfId="0" applyFont="1" applyFill="1" applyAlignment="1">
      <alignment horizontal="left" vertical="center"/>
    </xf>
    <xf numFmtId="0" fontId="1" fillId="0" borderId="2" xfId="0" applyFont="1" applyBorder="1" applyAlignment="1" applyProtection="1">
      <alignment horizontal="right"/>
      <protection hidden="1"/>
    </xf>
    <xf numFmtId="2" fontId="1" fillId="0" borderId="0" xfId="0" applyNumberFormat="1" applyFont="1" applyProtection="1">
      <protection hidden="1"/>
    </xf>
    <xf numFmtId="0" fontId="1" fillId="5" borderId="19" xfId="0" applyFont="1" applyFill="1" applyBorder="1" applyProtection="1">
      <protection hidden="1"/>
    </xf>
    <xf numFmtId="0" fontId="1" fillId="5" borderId="20" xfId="0" applyFont="1" applyFill="1" applyBorder="1" applyProtection="1">
      <protection hidden="1"/>
    </xf>
    <xf numFmtId="0" fontId="1" fillId="5" borderId="10" xfId="0" applyFont="1" applyFill="1" applyBorder="1" applyProtection="1">
      <protection hidden="1"/>
    </xf>
    <xf numFmtId="0" fontId="1" fillId="5" borderId="21" xfId="0" applyFont="1" applyFill="1" applyBorder="1" applyProtection="1">
      <protection hidden="1"/>
    </xf>
    <xf numFmtId="0" fontId="1" fillId="5" borderId="0" xfId="0" applyFont="1" applyFill="1" applyProtection="1">
      <protection hidden="1"/>
    </xf>
    <xf numFmtId="0" fontId="1" fillId="5" borderId="22" xfId="0" applyFont="1" applyFill="1" applyBorder="1" applyProtection="1">
      <protection hidden="1"/>
    </xf>
    <xf numFmtId="14" fontId="1" fillId="5" borderId="0" xfId="0" applyNumberFormat="1" applyFont="1" applyFill="1" applyProtection="1">
      <protection hidden="1"/>
    </xf>
    <xf numFmtId="0" fontId="1" fillId="5" borderId="7" xfId="0" applyFont="1" applyFill="1" applyBorder="1" applyProtection="1">
      <protection hidden="1"/>
    </xf>
    <xf numFmtId="0" fontId="1" fillId="5" borderId="23" xfId="0" applyFont="1" applyFill="1" applyBorder="1" applyProtection="1">
      <protection hidden="1"/>
    </xf>
    <xf numFmtId="14" fontId="1" fillId="5" borderId="23" xfId="0" applyNumberFormat="1" applyFont="1" applyFill="1" applyBorder="1" applyProtection="1">
      <protection hidden="1"/>
    </xf>
    <xf numFmtId="14" fontId="1" fillId="5" borderId="24" xfId="0" applyNumberFormat="1" applyFont="1" applyFill="1" applyBorder="1" applyProtection="1">
      <protection hidden="1"/>
    </xf>
    <xf numFmtId="1" fontId="1" fillId="0" borderId="0" xfId="0" applyNumberFormat="1" applyFont="1" applyProtection="1">
      <protection hidden="1"/>
    </xf>
    <xf numFmtId="15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6" borderId="19" xfId="0" applyFont="1" applyFill="1" applyBorder="1" applyProtection="1">
      <protection hidden="1"/>
    </xf>
    <xf numFmtId="0" fontId="1" fillId="6" borderId="20" xfId="0" applyFont="1" applyFill="1" applyBorder="1" applyProtection="1">
      <protection hidden="1"/>
    </xf>
    <xf numFmtId="0" fontId="1" fillId="6" borderId="10" xfId="0" applyFont="1" applyFill="1" applyBorder="1"/>
    <xf numFmtId="0" fontId="1" fillId="6" borderId="21" xfId="0" applyFont="1" applyFill="1" applyBorder="1" applyProtection="1">
      <protection hidden="1"/>
    </xf>
    <xf numFmtId="0" fontId="1" fillId="6" borderId="0" xfId="0" applyFont="1" applyFill="1" applyProtection="1">
      <protection hidden="1"/>
    </xf>
    <xf numFmtId="0" fontId="1" fillId="6" borderId="22" xfId="0" applyFont="1" applyFill="1" applyBorder="1"/>
    <xf numFmtId="0" fontId="1" fillId="6" borderId="0" xfId="0" applyFont="1" applyFill="1" applyAlignment="1" applyProtection="1">
      <alignment horizontal="left"/>
      <protection hidden="1"/>
    </xf>
    <xf numFmtId="0" fontId="1" fillId="6" borderId="7" xfId="0" applyFont="1" applyFill="1" applyBorder="1" applyProtection="1">
      <protection hidden="1"/>
    </xf>
    <xf numFmtId="0" fontId="1" fillId="6" borderId="23" xfId="0" applyFont="1" applyFill="1" applyBorder="1" applyProtection="1">
      <protection hidden="1"/>
    </xf>
    <xf numFmtId="0" fontId="1" fillId="6" borderId="24" xfId="0" applyFont="1" applyFill="1" applyBorder="1"/>
    <xf numFmtId="20" fontId="1" fillId="6" borderId="19" xfId="0" applyNumberFormat="1" applyFont="1" applyFill="1" applyBorder="1" applyProtection="1">
      <protection hidden="1"/>
    </xf>
    <xf numFmtId="0" fontId="1" fillId="6" borderId="10" xfId="0" applyFont="1" applyFill="1" applyBorder="1" applyProtection="1">
      <protection hidden="1"/>
    </xf>
    <xf numFmtId="20" fontId="1" fillId="6" borderId="22" xfId="0" applyNumberFormat="1" applyFont="1" applyFill="1" applyBorder="1" applyAlignment="1" applyProtection="1">
      <alignment horizontal="left"/>
      <protection hidden="1"/>
    </xf>
    <xf numFmtId="0" fontId="1" fillId="13" borderId="19" xfId="0" applyFont="1" applyFill="1" applyBorder="1" applyProtection="1">
      <protection hidden="1"/>
    </xf>
    <xf numFmtId="0" fontId="1" fillId="13" borderId="20" xfId="0" applyFont="1" applyFill="1" applyBorder="1" applyProtection="1">
      <protection hidden="1"/>
    </xf>
    <xf numFmtId="0" fontId="1" fillId="13" borderId="10" xfId="0" applyFont="1" applyFill="1" applyBorder="1"/>
    <xf numFmtId="0" fontId="1" fillId="13" borderId="21" xfId="0" applyFont="1" applyFill="1" applyBorder="1" applyProtection="1">
      <protection hidden="1"/>
    </xf>
    <xf numFmtId="0" fontId="1" fillId="13" borderId="22" xfId="0" applyFont="1" applyFill="1" applyBorder="1" applyProtection="1">
      <protection hidden="1"/>
    </xf>
    <xf numFmtId="0" fontId="1" fillId="13" borderId="7" xfId="0" applyFont="1" applyFill="1" applyBorder="1" applyProtection="1">
      <protection hidden="1"/>
    </xf>
    <xf numFmtId="0" fontId="1" fillId="13" borderId="24" xfId="0" applyFont="1" applyFill="1" applyBorder="1" applyProtection="1">
      <protection hidden="1"/>
    </xf>
    <xf numFmtId="0" fontId="1" fillId="6" borderId="24" xfId="0" applyFont="1" applyFill="1" applyBorder="1" applyProtection="1">
      <protection hidden="1"/>
    </xf>
    <xf numFmtId="14" fontId="19" fillId="0" borderId="0" xfId="0" applyNumberFormat="1" applyFont="1"/>
    <xf numFmtId="0" fontId="17" fillId="15" borderId="3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top"/>
    </xf>
    <xf numFmtId="0" fontId="15" fillId="15" borderId="5" xfId="0" applyFont="1" applyFill="1" applyBorder="1" applyAlignment="1">
      <alignment horizontal="center" vertical="center"/>
    </xf>
    <xf numFmtId="0" fontId="16" fillId="19" borderId="3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7" fillId="20" borderId="3" xfId="0" applyFont="1" applyFill="1" applyBorder="1" applyAlignment="1">
      <alignment horizontal="center" vertical="center"/>
    </xf>
    <xf numFmtId="0" fontId="20" fillId="19" borderId="4" xfId="0" applyFont="1" applyFill="1" applyBorder="1" applyAlignment="1">
      <alignment horizontal="center" vertical="center"/>
    </xf>
    <xf numFmtId="0" fontId="17" fillId="16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center" vertical="top"/>
    </xf>
    <xf numFmtId="0" fontId="15" fillId="16" borderId="5" xfId="0" applyFont="1" applyFill="1" applyBorder="1" applyAlignment="1">
      <alignment horizontal="center" vertical="center"/>
    </xf>
    <xf numFmtId="0" fontId="41" fillId="22" borderId="3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9" fillId="17" borderId="4" xfId="0" applyFont="1" applyFill="1" applyBorder="1" applyAlignment="1">
      <alignment horizontal="center" vertical="center"/>
    </xf>
    <xf numFmtId="0" fontId="8" fillId="21" borderId="2" xfId="0" applyFont="1" applyFill="1" applyBorder="1"/>
    <xf numFmtId="20" fontId="9" fillId="3" borderId="1" xfId="0" applyNumberFormat="1" applyFont="1" applyFill="1" applyBorder="1" applyProtection="1">
      <protection locked="0"/>
    </xf>
    <xf numFmtId="0" fontId="17" fillId="18" borderId="3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20" fillId="15" borderId="4" xfId="0" applyFont="1" applyFill="1" applyBorder="1" applyAlignment="1">
      <alignment horizontal="center" vertical="center"/>
    </xf>
    <xf numFmtId="0" fontId="11" fillId="22" borderId="2" xfId="0" applyFont="1" applyFill="1" applyBorder="1" applyAlignment="1">
      <alignment horizontal="center" vertical="center"/>
    </xf>
    <xf numFmtId="0" fontId="41" fillId="20" borderId="3" xfId="0" applyFont="1" applyFill="1" applyBorder="1" applyAlignment="1">
      <alignment horizontal="center" vertical="center"/>
    </xf>
    <xf numFmtId="0" fontId="9" fillId="19" borderId="4" xfId="0" applyFont="1" applyFill="1" applyBorder="1" applyAlignment="1">
      <alignment horizontal="center" vertical="center"/>
    </xf>
    <xf numFmtId="0" fontId="17" fillId="17" borderId="3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top"/>
    </xf>
    <xf numFmtId="0" fontId="15" fillId="17" borderId="5" xfId="0" applyFont="1" applyFill="1" applyBorder="1" applyAlignment="1">
      <alignment horizontal="center" vertical="center"/>
    </xf>
    <xf numFmtId="0" fontId="17" fillId="19" borderId="3" xfId="0" applyFont="1" applyFill="1" applyBorder="1" applyAlignment="1">
      <alignment horizontal="center" vertical="center"/>
    </xf>
    <xf numFmtId="0" fontId="16" fillId="19" borderId="3" xfId="0" applyFont="1" applyFill="1" applyBorder="1" applyAlignment="1">
      <alignment horizontal="center" vertical="top"/>
    </xf>
    <xf numFmtId="0" fontId="15" fillId="19" borderId="5" xfId="0" applyFont="1" applyFill="1" applyBorder="1" applyAlignment="1">
      <alignment horizontal="center" vertical="center"/>
    </xf>
    <xf numFmtId="0" fontId="0" fillId="23" borderId="0" xfId="0" applyFill="1"/>
    <xf numFmtId="164" fontId="1" fillId="23" borderId="0" xfId="0" applyNumberFormat="1" applyFont="1" applyFill="1"/>
    <xf numFmtId="164" fontId="2" fillId="23" borderId="0" xfId="0" applyNumberFormat="1" applyFont="1" applyFill="1" applyAlignment="1">
      <alignment horizontal="right" vertical="center"/>
    </xf>
  </cellXfs>
  <cellStyles count="1">
    <cellStyle name="Normal" xfId="0" builtinId="0"/>
  </cellStyles>
  <dxfs count="1">
    <dxf>
      <font>
        <b/>
        <i val="0"/>
        <color theme="0" tint="-0.2499465926084170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EEEEE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EEEEE"/>
      <color rgb="FFDDDDDD"/>
      <color rgb="FFEAEAEA"/>
      <color rgb="FFCC0000"/>
      <color rgb="FFFF6201"/>
      <color rgb="FFFAFAF9"/>
      <color rgb="FFF0B2B2"/>
      <color rgb="FFFF7C80"/>
      <color rgb="FFFF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B prst="convex"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F262-4F74-893A-F2C1FAB1E5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F262-4F74-893A-F2C1FAB1E53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F262-4F74-893A-F2C1FAB1E53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F262-4F74-893A-F2C1FAB1E539}"/>
              </c:ext>
            </c:extLst>
          </c:dPt>
          <c:dPt>
            <c:idx val="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4-F262-4F74-893A-F2C1FAB1E5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Bazi!$C$95:$G$95</c:f>
              <c:numCache>
                <c:formatCode>General</c:formatCode>
                <c:ptCount val="5"/>
                <c:pt idx="0">
                  <c:v>36.67</c:v>
                </c:pt>
                <c:pt idx="1">
                  <c:v>13.33</c:v>
                </c:pt>
                <c:pt idx="2">
                  <c:v>16.670000000000002</c:v>
                </c:pt>
                <c:pt idx="3">
                  <c:v>2.08</c:v>
                </c:pt>
                <c:pt idx="4">
                  <c:v>31.25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2-4F74-893A-F2C1FAB1E5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8"/>
          <c:order val="0"/>
          <c:tx>
            <c:strRef>
              <c:f>Bazi!$K$97</c:f>
              <c:strCache>
                <c:ptCount val="1"/>
                <c:pt idx="0">
                  <c:v>Gui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Bazi!$K$99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0A3-40A8-8083-072FD2F7BFDB}"/>
            </c:ext>
          </c:extLst>
        </c:ser>
        <c:ser>
          <c:idx val="7"/>
          <c:order val="1"/>
          <c:tx>
            <c:strRef>
              <c:f>Bazi!$J$97</c:f>
              <c:strCache>
                <c:ptCount val="1"/>
                <c:pt idx="0">
                  <c:v>Ren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Bazi!$J$99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A3-40A8-8083-072FD2F7BFDB}"/>
            </c:ext>
          </c:extLst>
        </c:ser>
        <c:ser>
          <c:idx val="6"/>
          <c:order val="2"/>
          <c:tx>
            <c:strRef>
              <c:f>Bazi!$I$97</c:f>
              <c:strCache>
                <c:ptCount val="1"/>
                <c:pt idx="0">
                  <c:v>Xin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Bazi!$I$99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0A3-40A8-8083-072FD2F7BFDB}"/>
            </c:ext>
          </c:extLst>
        </c:ser>
        <c:ser>
          <c:idx val="5"/>
          <c:order val="3"/>
          <c:tx>
            <c:strRef>
              <c:f>Bazi!$H$97</c:f>
              <c:strCache>
                <c:ptCount val="1"/>
                <c:pt idx="0">
                  <c:v>Geng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Bazi!$H$99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0A3-40A8-8083-072FD2F7BFDB}"/>
            </c:ext>
          </c:extLst>
        </c:ser>
        <c:ser>
          <c:idx val="4"/>
          <c:order val="4"/>
          <c:tx>
            <c:strRef>
              <c:f>Bazi!$G$97</c:f>
              <c:strCache>
                <c:ptCount val="1"/>
                <c:pt idx="0">
                  <c:v>Ji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Bazi!$G$99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0A3-40A8-8083-072FD2F7BFDB}"/>
            </c:ext>
          </c:extLst>
        </c:ser>
        <c:ser>
          <c:idx val="3"/>
          <c:order val="5"/>
          <c:tx>
            <c:strRef>
              <c:f>Bazi!$F$97</c:f>
              <c:strCache>
                <c:ptCount val="1"/>
                <c:pt idx="0">
                  <c:v>Wu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Bazi!$F$99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0A3-40A8-8083-072FD2F7BFDB}"/>
            </c:ext>
          </c:extLst>
        </c:ser>
        <c:ser>
          <c:idx val="2"/>
          <c:order val="6"/>
          <c:tx>
            <c:strRef>
              <c:f>Bazi!$E$97</c:f>
              <c:strCache>
                <c:ptCount val="1"/>
                <c:pt idx="0">
                  <c:v>Ding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Bazi!$E$99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0A3-40A8-8083-072FD2F7BFDB}"/>
            </c:ext>
          </c:extLst>
        </c:ser>
        <c:ser>
          <c:idx val="1"/>
          <c:order val="7"/>
          <c:tx>
            <c:strRef>
              <c:f>Bazi!$D$97</c:f>
              <c:strCache>
                <c:ptCount val="1"/>
                <c:pt idx="0">
                  <c:v>Bing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2-4F01-41AB-81D3-5E90D25377AC}"/>
              </c:ext>
            </c:extLst>
          </c:dPt>
          <c:val>
            <c:numRef>
              <c:f>Bazi!$D$99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0A3-40A8-8083-072FD2F7BFDB}"/>
            </c:ext>
          </c:extLst>
        </c:ser>
        <c:ser>
          <c:idx val="0"/>
          <c:order val="8"/>
          <c:tx>
            <c:strRef>
              <c:f>Bazi!$C$97</c:f>
              <c:strCache>
                <c:ptCount val="1"/>
                <c:pt idx="0">
                  <c:v>Yi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6350">
              <a:noFill/>
            </a:ln>
            <a:effectLst/>
          </c:spPr>
          <c:invertIfNegative val="0"/>
          <c:val>
            <c:numRef>
              <c:f>Bazi!$C$99</c:f>
              <c:numCache>
                <c:formatCode>General</c:formatCode>
                <c:ptCount val="1"/>
                <c:pt idx="0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A3-40A8-8083-072FD2F7BFDB}"/>
            </c:ext>
          </c:extLst>
        </c:ser>
        <c:ser>
          <c:idx val="9"/>
          <c:order val="9"/>
          <c:tx>
            <c:strRef>
              <c:f>Bazi!$B$97</c:f>
              <c:strCache>
                <c:ptCount val="1"/>
                <c:pt idx="0">
                  <c:v>Jia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0B7-4E0B-A894-A8F7CE54F6F7}"/>
              </c:ext>
            </c:extLst>
          </c:dPt>
          <c:val>
            <c:numRef>
              <c:f>Bazi!$B$99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A3-40A8-8083-072FD2F7B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59494264"/>
        <c:axId val="559495248"/>
      </c:barChart>
      <c:catAx>
        <c:axId val="559494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59495248"/>
        <c:crosses val="autoZero"/>
        <c:auto val="1"/>
        <c:lblAlgn val="ctr"/>
        <c:lblOffset val="100"/>
        <c:noMultiLvlLbl val="0"/>
      </c:catAx>
      <c:valAx>
        <c:axId val="5594952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594942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2.svg"/><Relationship Id="rId7" Type="http://schemas.openxmlformats.org/officeDocument/2006/relationships/customXml" Target="../ink/ink1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310442</xdr:colOff>
      <xdr:row>17</xdr:row>
      <xdr:rowOff>23808</xdr:rowOff>
    </xdr:from>
    <xdr:to>
      <xdr:col>19</xdr:col>
      <xdr:colOff>95251</xdr:colOff>
      <xdr:row>25</xdr:row>
      <xdr:rowOff>63496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385620</xdr:colOff>
      <xdr:row>1</xdr:row>
      <xdr:rowOff>25889</xdr:rowOff>
    </xdr:from>
    <xdr:to>
      <xdr:col>4</xdr:col>
      <xdr:colOff>554853</xdr:colOff>
      <xdr:row>2</xdr:row>
      <xdr:rowOff>818</xdr:rowOff>
    </xdr:to>
    <xdr:pic>
      <xdr:nvPicPr>
        <xdr:cNvPr id="6" name="Graphic 5" descr="Mo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268520" y="203689"/>
          <a:ext cx="169233" cy="171477"/>
        </a:xfrm>
        <a:prstGeom prst="rect">
          <a:avLst/>
        </a:prstGeom>
      </xdr:spPr>
    </xdr:pic>
    <xdr:clientData/>
  </xdr:twoCellAnchor>
  <xdr:twoCellAnchor>
    <xdr:from>
      <xdr:col>8</xdr:col>
      <xdr:colOff>369300</xdr:colOff>
      <xdr:row>4</xdr:row>
      <xdr:rowOff>28165</xdr:rowOff>
    </xdr:from>
    <xdr:to>
      <xdr:col>10</xdr:col>
      <xdr:colOff>30634</xdr:colOff>
      <xdr:row>6</xdr:row>
      <xdr:rowOff>138232</xdr:rowOff>
    </xdr:to>
    <xdr:sp macro="" textlink="">
      <xdr:nvSpPr>
        <xdr:cNvPr id="7" name="Circle: Hollow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7413567" y="1018765"/>
          <a:ext cx="457200" cy="457200"/>
        </a:xfrm>
        <a:prstGeom prst="donut">
          <a:avLst>
            <a:gd name="adj" fmla="val 6396"/>
          </a:avLst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613327</xdr:colOff>
      <xdr:row>5</xdr:row>
      <xdr:rowOff>173016</xdr:rowOff>
    </xdr:from>
    <xdr:to>
      <xdr:col>8</xdr:col>
      <xdr:colOff>39249</xdr:colOff>
      <xdr:row>7</xdr:row>
      <xdr:rowOff>47735</xdr:rowOff>
    </xdr:to>
    <xdr:sp macro="" textlink="">
      <xdr:nvSpPr>
        <xdr:cNvPr id="18" name="Circle: Hollow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6621404" y="1316016"/>
          <a:ext cx="451691" cy="460873"/>
        </a:xfrm>
        <a:prstGeom prst="donut">
          <a:avLst>
            <a:gd name="adj" fmla="val 6396"/>
          </a:avLst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368894</xdr:colOff>
      <xdr:row>8</xdr:row>
      <xdr:rowOff>281316</xdr:rowOff>
    </xdr:from>
    <xdr:to>
      <xdr:col>9</xdr:col>
      <xdr:colOff>43086</xdr:colOff>
      <xdr:row>10</xdr:row>
      <xdr:rowOff>22351</xdr:rowOff>
    </xdr:to>
    <xdr:sp macro="" textlink="">
      <xdr:nvSpPr>
        <xdr:cNvPr id="23" name="Circle: Hollow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7011971" y="2235162"/>
          <a:ext cx="455730" cy="454189"/>
        </a:xfrm>
        <a:prstGeom prst="donut">
          <a:avLst>
            <a:gd name="adj" fmla="val 6396"/>
          </a:avLst>
        </a:prstGeom>
        <a:solidFill>
          <a:schemeClr val="accent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368668</xdr:colOff>
      <xdr:row>8</xdr:row>
      <xdr:rowOff>283625</xdr:rowOff>
    </xdr:from>
    <xdr:to>
      <xdr:col>11</xdr:col>
      <xdr:colOff>42861</xdr:colOff>
      <xdr:row>10</xdr:row>
      <xdr:rowOff>24660</xdr:rowOff>
    </xdr:to>
    <xdr:sp macro="" textlink="">
      <xdr:nvSpPr>
        <xdr:cNvPr id="24" name="Circle: Hollow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7793283" y="2237471"/>
          <a:ext cx="455732" cy="454189"/>
        </a:xfrm>
        <a:prstGeom prst="donut">
          <a:avLst>
            <a:gd name="adj" fmla="val 6396"/>
          </a:avLst>
        </a:prstGeom>
        <a:solidFill>
          <a:schemeClr val="bg2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368070</xdr:colOff>
      <xdr:row>5</xdr:row>
      <xdr:rowOff>175562</xdr:rowOff>
    </xdr:from>
    <xdr:to>
      <xdr:col>12</xdr:col>
      <xdr:colOff>29403</xdr:colOff>
      <xdr:row>7</xdr:row>
      <xdr:rowOff>40095</xdr:rowOff>
    </xdr:to>
    <xdr:sp macro="" textlink="">
      <xdr:nvSpPr>
        <xdr:cNvPr id="25" name="Circle: Hollow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8183455" y="1318562"/>
          <a:ext cx="442871" cy="450687"/>
        </a:xfrm>
        <a:prstGeom prst="donut">
          <a:avLst>
            <a:gd name="adj" fmla="val 6396"/>
          </a:avLst>
        </a:prstGeom>
        <a:solidFill>
          <a:srgbClr val="FFC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349959</xdr:colOff>
      <xdr:row>8</xdr:row>
      <xdr:rowOff>285884</xdr:rowOff>
    </xdr:from>
    <xdr:to>
      <xdr:col>16</xdr:col>
      <xdr:colOff>35390</xdr:colOff>
      <xdr:row>10</xdr:row>
      <xdr:rowOff>29930</xdr:rowOff>
    </xdr:to>
    <xdr:sp macro="" textlink="">
      <xdr:nvSpPr>
        <xdr:cNvPr id="26" name="Circle: Hollow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542805" y="2239730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39872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352108</xdr:colOff>
      <xdr:row>9</xdr:row>
      <xdr:rowOff>5104</xdr:rowOff>
    </xdr:from>
    <xdr:to>
      <xdr:col>18</xdr:col>
      <xdr:colOff>47308</xdr:colOff>
      <xdr:row>10</xdr:row>
      <xdr:rowOff>42227</xdr:rowOff>
    </xdr:to>
    <xdr:sp macro="" textlink="">
      <xdr:nvSpPr>
        <xdr:cNvPr id="27" name="Circle: Hollow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10316723" y="2252027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359000</xdr:colOff>
      <xdr:row>5</xdr:row>
      <xdr:rowOff>172715</xdr:rowOff>
    </xdr:from>
    <xdr:to>
      <xdr:col>15</xdr:col>
      <xdr:colOff>44431</xdr:colOff>
      <xdr:row>7</xdr:row>
      <xdr:rowOff>43761</xdr:rowOff>
    </xdr:to>
    <xdr:sp macro="" textlink="">
      <xdr:nvSpPr>
        <xdr:cNvPr id="28" name="Circle: Hollow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161077" y="1315715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17</xdr:col>
      <xdr:colOff>337077</xdr:colOff>
      <xdr:row>5</xdr:row>
      <xdr:rowOff>175245</xdr:rowOff>
    </xdr:from>
    <xdr:to>
      <xdr:col>19</xdr:col>
      <xdr:colOff>32277</xdr:colOff>
      <xdr:row>7</xdr:row>
      <xdr:rowOff>46291</xdr:rowOff>
    </xdr:to>
    <xdr:sp macro="" textlink="">
      <xdr:nvSpPr>
        <xdr:cNvPr id="29" name="Circle: Hollow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10682692" y="1318245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364113</xdr:colOff>
      <xdr:row>4</xdr:row>
      <xdr:rowOff>21055</xdr:rowOff>
    </xdr:from>
    <xdr:to>
      <xdr:col>17</xdr:col>
      <xdr:colOff>49544</xdr:colOff>
      <xdr:row>6</xdr:row>
      <xdr:rowOff>126562</xdr:rowOff>
    </xdr:to>
    <xdr:sp macro="" textlink="">
      <xdr:nvSpPr>
        <xdr:cNvPr id="30" name="Circle: Hollow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937959" y="1007747"/>
          <a:ext cx="457200" cy="457200"/>
        </a:xfrm>
        <a:prstGeom prst="donut">
          <a:avLst>
            <a:gd name="adj" fmla="val 6396"/>
          </a:avLst>
        </a:prstGeom>
        <a:solidFill>
          <a:schemeClr val="tx1">
            <a:lumMod val="65000"/>
            <a:lumOff val="35000"/>
            <a:alpha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4</xdr:col>
      <xdr:colOff>380363</xdr:colOff>
      <xdr:row>2</xdr:row>
      <xdr:rowOff>12428</xdr:rowOff>
    </xdr:from>
    <xdr:to>
      <xdr:col>4</xdr:col>
      <xdr:colOff>571501</xdr:colOff>
      <xdr:row>3</xdr:row>
      <xdr:rowOff>8367</xdr:rowOff>
    </xdr:to>
    <xdr:pic>
      <xdr:nvPicPr>
        <xdr:cNvPr id="10" name="Graphic 9" descr="Su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263263" y="399778"/>
          <a:ext cx="191138" cy="192790"/>
        </a:xfrm>
        <a:prstGeom prst="rect">
          <a:avLst/>
        </a:prstGeom>
      </xdr:spPr>
    </xdr:pic>
    <xdr:clientData/>
  </xdr:twoCellAnchor>
  <xdr:twoCellAnchor>
    <xdr:from>
      <xdr:col>4</xdr:col>
      <xdr:colOff>250054</xdr:colOff>
      <xdr:row>12</xdr:row>
      <xdr:rowOff>109512</xdr:rowOff>
    </xdr:from>
    <xdr:to>
      <xdr:col>10</xdr:col>
      <xdr:colOff>412750</xdr:colOff>
      <xdr:row>25</xdr:row>
      <xdr:rowOff>125388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25400</xdr:colOff>
      <xdr:row>1</xdr:row>
      <xdr:rowOff>12700</xdr:rowOff>
    </xdr:from>
    <xdr:to>
      <xdr:col>2</xdr:col>
      <xdr:colOff>444500</xdr:colOff>
      <xdr:row>3</xdr:row>
      <xdr:rowOff>12700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469900</xdr:colOff>
      <xdr:row>2</xdr:row>
      <xdr:rowOff>0</xdr:rowOff>
    </xdr:from>
    <xdr:to>
      <xdr:col>2</xdr:col>
      <xdr:colOff>673100</xdr:colOff>
      <xdr:row>3</xdr:row>
      <xdr:rowOff>5562</xdr:rowOff>
    </xdr:to>
    <xdr:sp macro="" textlink="">
      <xdr:nvSpPr>
        <xdr:cNvPr id="1027" name="CommandButton2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2</xdr:col>
      <xdr:colOff>698500</xdr:colOff>
      <xdr:row>2</xdr:row>
      <xdr:rowOff>0</xdr:rowOff>
    </xdr:from>
    <xdr:to>
      <xdr:col>2</xdr:col>
      <xdr:colOff>901700</xdr:colOff>
      <xdr:row>3</xdr:row>
      <xdr:rowOff>5562</xdr:rowOff>
    </xdr:to>
    <xdr:sp macro="" textlink="">
      <xdr:nvSpPr>
        <xdr:cNvPr id="1029" name="CommandButton3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698500</xdr:colOff>
      <xdr:row>1</xdr:row>
      <xdr:rowOff>12700</xdr:rowOff>
    </xdr:from>
    <xdr:to>
      <xdr:col>2</xdr:col>
      <xdr:colOff>901700</xdr:colOff>
      <xdr:row>2</xdr:row>
      <xdr:rowOff>2253</xdr:rowOff>
    </xdr:to>
    <xdr:sp macro="" textlink="">
      <xdr:nvSpPr>
        <xdr:cNvPr id="1031" name="CommandButton4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469900</xdr:colOff>
      <xdr:row>1</xdr:row>
      <xdr:rowOff>12700</xdr:rowOff>
    </xdr:from>
    <xdr:to>
      <xdr:col>2</xdr:col>
      <xdr:colOff>673100</xdr:colOff>
      <xdr:row>2</xdr:row>
      <xdr:rowOff>2253</xdr:rowOff>
    </xdr:to>
    <xdr:sp macro="" textlink="">
      <xdr:nvSpPr>
        <xdr:cNvPr id="1032" name="CommandButton5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192240</xdr:colOff>
      <xdr:row>9</xdr:row>
      <xdr:rowOff>202172</xdr:rowOff>
    </xdr:from>
    <xdr:to>
      <xdr:col>9</xdr:col>
      <xdr:colOff>196200</xdr:colOff>
      <xdr:row>9</xdr:row>
      <xdr:rowOff>204692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496" name="Ink 1495">
              <a:extLs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14:cNvPr>
            <xdr14:cNvContentPartPr/>
          </xdr14:nvContentPartPr>
          <xdr14:nvPr macro=""/>
          <xdr14:xfrm>
            <a:off x="7507440" y="2195095"/>
            <a:ext cx="3960" cy="2520"/>
          </xdr14:xfrm>
        </xdr:contentPart>
      </mc:Choice>
      <mc:Fallback xmlns="">
        <xdr:pic>
          <xdr:nvPicPr>
            <xdr:cNvPr id="1496" name="Ink 1495">
              <a:extLst>
                <a:ext uri="{FF2B5EF4-FFF2-40B4-BE49-F238E27FC236}">
                  <a16:creationId xmlns:a16="http://schemas.microsoft.com/office/drawing/2014/main" id="{E74A77C1-FC29-40EB-BAC2-C1AA2BAFEEC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489440" y="2177095"/>
              <a:ext cx="39600" cy="381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88900</xdr:colOff>
      <xdr:row>41</xdr:row>
      <xdr:rowOff>86546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264900" cy="6074596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31T11:52:46.115"/>
    </inkml:context>
    <inkml:brush xml:id="br0">
      <inkml:brushProperty name="width" value="0.1" units="cm"/>
      <inkml:brushProperty name="height" value="0.1" units="cm"/>
    </inkml:brush>
  </inkml:definitions>
  <inkml:trace contextRef="#ctx0" brushRef="#br0">61 80 268,'0'-3'160,"5"3"-280,0-3-76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O41"/>
  <sheetViews>
    <sheetView showGridLines="0" zoomScale="132" zoomScaleNormal="110" workbookViewId="0">
      <selection activeCell="F2" sqref="F2"/>
    </sheetView>
  </sheetViews>
  <sheetFormatPr baseColWidth="10" defaultColWidth="10.6640625" defaultRowHeight="16" x14ac:dyDescent="0.2"/>
  <cols>
    <col min="1" max="1" width="1.6640625" style="5" customWidth="1"/>
    <col min="2" max="2" width="2" style="5" customWidth="1"/>
    <col min="3" max="3" width="19.1640625" style="5" customWidth="1"/>
    <col min="4" max="4" width="19" style="5" customWidth="1"/>
    <col min="5" max="5" width="19.33203125" style="5" customWidth="1"/>
    <col min="6" max="6" width="19" style="5" customWidth="1"/>
    <col min="7" max="7" width="8.33203125" style="5" customWidth="1"/>
    <col min="8" max="8" width="5.1640625" style="6" customWidth="1"/>
    <col min="9" max="12" width="5.1640625" style="5" customWidth="1"/>
    <col min="13" max="13" width="2.6640625" style="5" customWidth="1"/>
    <col min="14" max="14" width="5.1640625" style="5" customWidth="1"/>
    <col min="15" max="15" width="5" style="5" customWidth="1"/>
    <col min="16" max="16" width="5.1640625" style="5" customWidth="1"/>
    <col min="17" max="20" width="5" style="5" customWidth="1"/>
    <col min="21" max="16384" width="10.6640625" style="5"/>
  </cols>
  <sheetData>
    <row r="1" spans="1:249" s="29" customFormat="1" ht="33" customHeight="1" x14ac:dyDescent="0.2">
      <c r="C1" s="187" t="s">
        <v>0</v>
      </c>
      <c r="F1" s="192"/>
    </row>
    <row r="2" spans="1:249" ht="16.5" customHeight="1" x14ac:dyDescent="0.2">
      <c r="C2" s="193" t="s">
        <v>1</v>
      </c>
      <c r="D2" s="265">
        <v>44373</v>
      </c>
      <c r="E2" s="107" t="s">
        <v>2</v>
      </c>
      <c r="F2" s="103" t="str">
        <f>"Day "&amp;IF(Bazi!E24&gt;30, Bazi!E24&amp;" (intercalary)", Bazi!E24)</f>
        <v>Day 3</v>
      </c>
      <c r="G2" s="7"/>
      <c r="I2" s="91"/>
      <c r="J2" s="102" t="s">
        <v>3</v>
      </c>
      <c r="K2" s="91"/>
      <c r="P2" s="91"/>
      <c r="Q2" s="95" t="s">
        <v>4</v>
      </c>
      <c r="R2" s="91"/>
    </row>
    <row r="3" spans="1:249" ht="15.75" customHeight="1" x14ac:dyDescent="0.2">
      <c r="C3" s="193" t="s">
        <v>5</v>
      </c>
      <c r="D3" s="280" t="s">
        <v>189</v>
      </c>
      <c r="E3" s="107" t="s">
        <v>6</v>
      </c>
      <c r="F3" s="5" t="str">
        <f>Bazi!N191</f>
        <v>Summer</v>
      </c>
      <c r="H3" s="215"/>
      <c r="J3" s="211" t="str">
        <f>Bazi!C87&amp;" "&amp;Bazi!F87&amp;" governed by "&amp;Bazi!C89&amp;" "&amp;Bazi!F89</f>
        <v>Fire Yin governed by Earth Yin</v>
      </c>
      <c r="Q3" s="211" t="str">
        <f>Bazi!K19</f>
        <v>Jue Yin</v>
      </c>
    </row>
    <row r="4" spans="1:249" ht="13.5" customHeight="1" x14ac:dyDescent="0.2">
      <c r="C4" s="8"/>
      <c r="D4" s="8"/>
      <c r="H4" s="5"/>
      <c r="J4" s="164" t="str">
        <f>Bazi!D65&amp;" "&amp;Bazi!E65</f>
        <v xml:space="preserve"> (丙)  (丁)</v>
      </c>
    </row>
    <row r="5" spans="1:249" s="9" customFormat="1" ht="12.75" customHeight="1" x14ac:dyDescent="0.2">
      <c r="C5" s="22" t="str">
        <f>IF(D3="","",D3)</f>
        <v xml:space="preserve"> </v>
      </c>
      <c r="D5" s="10" t="str">
        <f>TEXT(D2,"dd")</f>
        <v>dd</v>
      </c>
      <c r="E5" s="10" t="str">
        <f>TEXT(D2,"mmmm")</f>
        <v>June</v>
      </c>
      <c r="F5" s="10">
        <f>YEAR(D2)</f>
        <v>2025</v>
      </c>
      <c r="N5" s="5"/>
      <c r="O5" s="5"/>
      <c r="P5" s="100" t="str">
        <f>IF(F11="Wei","SI","")</f>
        <v/>
      </c>
      <c r="R5" s="93" t="str">
        <f>IF(F11="Hai","TH","")</f>
        <v/>
      </c>
      <c r="IO5" s="11"/>
    </row>
    <row r="6" spans="1:249" s="13" customFormat="1" ht="15" customHeight="1" x14ac:dyDescent="0.2">
      <c r="A6" s="12"/>
      <c r="C6" s="284"/>
      <c r="D6" s="284"/>
      <c r="E6" s="270"/>
      <c r="F6" s="279"/>
      <c r="J6" s="31">
        <f>Bazi!D94</f>
        <v>64</v>
      </c>
      <c r="K6" s="32"/>
      <c r="L6" s="32"/>
      <c r="M6" s="32"/>
      <c r="N6" s="5"/>
      <c r="O6" s="5"/>
      <c r="P6" s="5"/>
      <c r="Q6" s="30" t="str">
        <f>IF(F8="Wu","ST +",IF(F8="Gui","Ki −",IF(F8="Bing","−",IF(F8="Yi","+",""))))</f>
        <v>+</v>
      </c>
      <c r="R6" s="5"/>
      <c r="S6" s="5"/>
      <c r="IO6" s="14"/>
    </row>
    <row r="7" spans="1:249" ht="31.5" customHeight="1" x14ac:dyDescent="0.2">
      <c r="A7" s="15"/>
      <c r="C7" s="269" t="str">
        <f>IF(C8="","",VLOOKUP(Bazi!D21,Bazi!B5:'Bazi'!D14,2,FALSE))</f>
        <v>壬</v>
      </c>
      <c r="D7" s="282" t="str">
        <f>VLOOKUP(Bazi!E21,Bazi!B5:'Bazi'!D14,2,FALSE)</f>
        <v>丁</v>
      </c>
      <c r="E7" s="269" t="str">
        <f>VLOOKUP(Bazi!F21,Bazi!B5:'Bazi'!D14,2,FALSE)</f>
        <v>癸</v>
      </c>
      <c r="F7" s="277" t="str">
        <f>VLOOKUP(Bazi!G21,Bazi!B5:'Bazi'!D14,2,FALSE)</f>
        <v>乙</v>
      </c>
      <c r="H7" s="98">
        <f>Bazi!C94</f>
        <v>176</v>
      </c>
      <c r="I7" s="33"/>
      <c r="J7" s="33"/>
      <c r="K7" s="33"/>
      <c r="L7" s="99">
        <f>Bazi!E94</f>
        <v>80</v>
      </c>
      <c r="N7" s="104" t="str">
        <f>IF(F11="Zi","GB","")</f>
        <v/>
      </c>
      <c r="O7" s="92" t="str">
        <f>IF(F8="Ren","BL +",IF(F8="Ding","Ht −",IF(F8="Geng","−",IF(F8="Ji","+",""))))</f>
        <v/>
      </c>
      <c r="P7" s="105" t="str">
        <f>IF(F11="Chou","Liv","")</f>
        <v/>
      </c>
      <c r="Q7" s="94" t="str">
        <f>IF(F11="Wu","Ht",IF(F11="Xu","Pc",""))</f>
        <v/>
      </c>
      <c r="R7" s="104" t="str">
        <f>IF(F11="Si","Sp","")</f>
        <v>Sp</v>
      </c>
      <c r="S7" s="30" t="str">
        <f>IF(F8="Jia","GB +",IF(F8="Ji","Sp −",IF(F8="Ren","−",IF(F8="Xin","+",""))))</f>
        <v/>
      </c>
      <c r="T7" s="105" t="str">
        <f>IF(F11="Chen","St","")</f>
        <v/>
      </c>
      <c r="IO7" s="16"/>
    </row>
    <row r="8" spans="1:249" ht="18" customHeight="1" x14ac:dyDescent="0.2">
      <c r="A8" s="15"/>
      <c r="C8" s="271" t="str">
        <f>Bazi!D21</f>
        <v>Ren</v>
      </c>
      <c r="D8" s="281" t="str">
        <f>Bazi!E21</f>
        <v>Ding</v>
      </c>
      <c r="E8" s="285" t="str">
        <f>Bazi!F21</f>
        <v>Gui</v>
      </c>
      <c r="F8" s="276" t="str">
        <f>Bazi!G21</f>
        <v>Yi</v>
      </c>
      <c r="H8" s="162" t="str">
        <f>Bazi!B65&amp;" "&amp;Bazi!C65</f>
        <v xml:space="preserve">   乙(2乙)</v>
      </c>
      <c r="I8" s="33"/>
      <c r="J8" s="181" t="str">
        <f>VLOOKUP(Bazi!E21,Bazi!B5:'Bazi'!D14,2,FALSE)</f>
        <v>丁</v>
      </c>
      <c r="K8" s="33"/>
      <c r="L8" s="163" t="str">
        <f>Bazi!F65&amp;" "&amp;Bazi!G65</f>
        <v xml:space="preserve"> (戊)  (已)</v>
      </c>
      <c r="M8" s="33"/>
      <c r="Q8" s="214" t="str">
        <f>Bazi!J19</f>
        <v>Wood</v>
      </c>
      <c r="IO8" s="16"/>
    </row>
    <row r="9" spans="1:249" ht="23.25" customHeight="1" x14ac:dyDescent="0.2">
      <c r="A9" s="15"/>
      <c r="C9" s="272" t="str">
        <f>IF(C8="","",VLOOKUP(Bazi!D21,Bazi!B5:'Bazi'!D14,3,FALSE))</f>
        <v>BL</v>
      </c>
      <c r="D9" s="283" t="str">
        <f>VLOOKUP(Bazi!E21,Bazi!B5:'Bazi'!D14,3,FALSE)</f>
        <v>HT</v>
      </c>
      <c r="E9" s="286" t="str">
        <f>VLOOKUP(Bazi!F21,Bazi!B5:'Bazi'!D14,3,FALSE)</f>
        <v>KI</v>
      </c>
      <c r="F9" s="278" t="str">
        <f>VLOOKUP(Bazi!G21,Bazi!B5:'Bazi'!D14,3,FALSE)</f>
        <v>LIV</v>
      </c>
      <c r="H9" s="33"/>
      <c r="I9" s="33"/>
      <c r="J9" s="33"/>
      <c r="K9" s="33"/>
      <c r="L9" s="33"/>
      <c r="M9" s="33"/>
      <c r="IO9" s="16"/>
    </row>
    <row r="10" spans="1:249" ht="33" customHeight="1" x14ac:dyDescent="0.2">
      <c r="A10" s="15"/>
      <c r="C10" s="291" t="str">
        <f>IF(C11="","",VLOOKUP(Bazi!D22,Bazi!F5:'Bazi'!H16,2,FALSE))</f>
        <v>子</v>
      </c>
      <c r="D10" s="288" t="str">
        <f>VLOOKUP(Bazi!E22,Bazi!F5:'Bazi'!H16,2,FALSE)</f>
        <v>卯</v>
      </c>
      <c r="E10" s="274" t="str">
        <f>VLOOKUP(Bazi!F22,Bazi!F5:'Bazi'!H16,2,FALSE)</f>
        <v>未</v>
      </c>
      <c r="F10" s="267" t="str">
        <f>VLOOKUP(Bazi!G22,Bazi!F5:'Bazi'!H16,2,FALSE)</f>
        <v>巳</v>
      </c>
      <c r="H10" s="33"/>
      <c r="I10" s="96">
        <f>Bazi!G94</f>
        <v>150</v>
      </c>
      <c r="J10" s="34"/>
      <c r="K10" s="97">
        <f>Bazi!F94</f>
        <v>10</v>
      </c>
      <c r="L10" s="33"/>
      <c r="M10" s="33"/>
      <c r="O10" s="104" t="str">
        <f>IF(F11="Shen","BL","")</f>
        <v/>
      </c>
      <c r="P10" s="30" t="str">
        <f>IF(F8="Bing","SI +",IF(F8="Xin","Lu −",IF(F8="Jia","−",IF(F8="Gui","+",""))))</f>
        <v/>
      </c>
      <c r="Q10" s="101" t="str">
        <f>IF(F11="You","Ki",IF(F11="Yin","Lu",""))</f>
        <v/>
      </c>
      <c r="R10" s="30" t="str">
        <f>IF(F8="Geng","Co +",IF(F8="Yi","Liv −",IF(F8="Wu","−",IF(F8="Ding","+",""))))</f>
        <v>Liv −</v>
      </c>
      <c r="S10" s="105" t="str">
        <f>IF(F11="Mao","Co","")</f>
        <v/>
      </c>
      <c r="IO10" s="16"/>
    </row>
    <row r="11" spans="1:249" ht="16.5" customHeight="1" x14ac:dyDescent="0.2">
      <c r="C11" s="290" t="str">
        <f>Bazi!D22</f>
        <v>Zi</v>
      </c>
      <c r="D11" s="287" t="str">
        <f>Bazi!E22</f>
        <v>Mao</v>
      </c>
      <c r="E11" s="273" t="str">
        <f>Bazi!F22</f>
        <v>Wei</v>
      </c>
      <c r="F11" s="266" t="str">
        <f>Bazi!G22</f>
        <v>Si</v>
      </c>
      <c r="H11" s="5"/>
      <c r="I11" s="164" t="str">
        <f>Bazi!J65&amp;" "&amp;Bazi!K65</f>
        <v>壬  癸(癸)</v>
      </c>
      <c r="K11" s="164" t="str">
        <f>Bazi!H65&amp;" "&amp;Bazi!I65</f>
        <v xml:space="preserve"> (庚)   </v>
      </c>
      <c r="IM11" s="7"/>
      <c r="IN11" s="7"/>
    </row>
    <row r="12" spans="1:249" ht="23.5" customHeight="1" x14ac:dyDescent="0.2">
      <c r="C12" s="292" t="str">
        <f>IF(C11="","",VLOOKUP(Bazi!D22,Bazi!F5:'Bazi'!H16,3,FALSE))</f>
        <v>GB</v>
      </c>
      <c r="D12" s="289" t="str">
        <f>VLOOKUP(Bazi!E22,Bazi!F5:'Bazi'!H16,3,FALSE)</f>
        <v xml:space="preserve">CO </v>
      </c>
      <c r="E12" s="275" t="str">
        <f>VLOOKUP(Bazi!F22,Bazi!F5:'Bazi'!H16,3,FALSE)</f>
        <v>SI</v>
      </c>
      <c r="F12" s="268" t="str">
        <f>VLOOKUP(Bazi!G22,Bazi!F5:'Bazi'!H16,3,FALSE)</f>
        <v>SP</v>
      </c>
      <c r="G12" s="9"/>
      <c r="I12" s="36"/>
      <c r="J12" s="37"/>
      <c r="K12" s="38"/>
      <c r="P12" s="91"/>
      <c r="Q12" s="170" t="s">
        <v>7</v>
      </c>
      <c r="R12" s="91"/>
      <c r="IM12" s="7"/>
      <c r="IN12" s="7"/>
    </row>
    <row r="13" spans="1:249" ht="16.5" customHeight="1" x14ac:dyDescent="0.2">
      <c r="C13" s="210" t="str">
        <f>IF(C11="Yin","Jia 甲 | Bing 丙 | Wu 戊",IF(C11="Mao","Yi 乙",IF(C11="Chen","Wu 戊 | Yi 乙 | Gui 癸",IF(C11="Si","Bing 丙 | Geng 庚 | Wu 戊",IF(C11="Wu","Ding 丁 | Ji 已",IF(C11="Wei","Ji 已 | Ding 丁 | Yi 乙",""))))))&amp;IF(C11="Shen","Geng 庚 | Ren 壬 | Wu 戊",IF(C11="You","Xin 辛",IF(C11="Xu","Wu 戊 | Xin 辛 | Ding 丁",IF(C11="Hai","Ren 壬 | Jia 甲",IF(C11="Zi","Gui 癸",IF(C11="Chou","Ji 已 | Gui 癸 | Xin 辛",""))))))</f>
        <v>Gui 癸</v>
      </c>
      <c r="D13" s="210" t="str">
        <f t="shared" ref="D13:F13" si="0">IF(D11="Yin","Jia 甲 | Bing 丙 | Wu 戊",IF(D11="Mao","Yi 乙",IF(D11="Chen","Wu 戊 | Yi 乙 | Gui 癸",IF(D11="Si","Bing 丙 | Geng 庚 | Wu 戊",IF(D11="Wu","Ding 丁 | Ji 已",IF(D11="Wei","Ji 已 | Ding 丁 | Yi 乙",""))))))&amp;IF(D11="Shen","Geng 庚 | Ren 壬 | Wu 戊",IF(D11="You","Xin 辛",IF(D11="Xu","Wu 戊 | Xin 辛 | Ding 丁",IF(D11="Hai","Ren 壬 | Jia 甲",IF(D11="Zi","Gui 癸",IF(D11="Chou","Ji 已 | Gui 癸 | Xin 辛",""))))))</f>
        <v>Yi 乙</v>
      </c>
      <c r="E13" s="210" t="str">
        <f t="shared" si="0"/>
        <v>Ji 已 | Ding 丁 | Yi 乙</v>
      </c>
      <c r="F13" s="210" t="str">
        <f t="shared" si="0"/>
        <v>Bing 丙 | Geng 庚 | Wu 戊</v>
      </c>
      <c r="G13" s="9"/>
      <c r="I13" s="36"/>
      <c r="J13" s="211" t="str">
        <f>"This chart is "&amp;Bazi!K67&amp;" and "&amp;Bazi!G91</f>
        <v>This chart is Balanced and Rooted</v>
      </c>
      <c r="K13" s="39"/>
      <c r="Q13" s="212" t="str">
        <f>Bazi!K24</f>
        <v>None</v>
      </c>
      <c r="IM13" s="7"/>
      <c r="IN13" s="7"/>
    </row>
    <row r="14" spans="1:249" s="9" customFormat="1" ht="18.75" customHeight="1" x14ac:dyDescent="0.2">
      <c r="C14" s="165"/>
      <c r="D14" s="165"/>
      <c r="E14" s="165"/>
      <c r="F14" s="165"/>
      <c r="G14" s="165"/>
      <c r="H14" s="165"/>
      <c r="I14" s="5"/>
      <c r="J14" s="5"/>
      <c r="K14" s="5"/>
      <c r="L14" s="5"/>
      <c r="M14" s="5"/>
      <c r="O14" s="5"/>
      <c r="P14" s="91"/>
      <c r="Q14" s="102" t="str">
        <f>IF(Q18="","Relationships","Relationships*")</f>
        <v>Relationships</v>
      </c>
      <c r="R14" s="91"/>
      <c r="S14" s="5"/>
    </row>
    <row r="15" spans="1:249" x14ac:dyDescent="0.2">
      <c r="C15" s="197" t="s">
        <v>8</v>
      </c>
      <c r="D15" s="198" t="str">
        <f>Bazi!B98</f>
        <v>Direct Resource</v>
      </c>
      <c r="E15" s="206">
        <f>Bazi!B99</f>
        <v>0</v>
      </c>
      <c r="F15" s="199"/>
      <c r="G15" s="200"/>
      <c r="H15" s="201"/>
      <c r="I15" s="199"/>
      <c r="J15" s="199"/>
      <c r="K15" s="199"/>
      <c r="L15" s="29"/>
      <c r="O15" s="9"/>
      <c r="P15" s="172" t="s">
        <v>9</v>
      </c>
      <c r="Q15" s="213" t="str">
        <f>Bazi!L19&amp;" - "&amp;Bazi!M19</f>
        <v>Jue Yin - Metal</v>
      </c>
      <c r="R15" s="9"/>
      <c r="S15" s="171"/>
    </row>
    <row r="16" spans="1:249" x14ac:dyDescent="0.2">
      <c r="C16" s="155" t="s">
        <v>10</v>
      </c>
      <c r="D16" s="151" t="str">
        <f>Bazi!C98</f>
        <v>Indirect Resource</v>
      </c>
      <c r="E16" s="207">
        <f>Bazi!C99</f>
        <v>176</v>
      </c>
      <c r="F16" s="152"/>
      <c r="G16" s="153"/>
      <c r="H16" s="154"/>
      <c r="I16" s="152"/>
      <c r="J16" s="152"/>
      <c r="K16" s="152"/>
      <c r="M16" s="29"/>
      <c r="O16" s="9"/>
      <c r="P16" s="172" t="s">
        <v>11</v>
      </c>
      <c r="Q16" s="213" t="str">
        <f>Bazi!J22&amp;" - "&amp;Bazi!K22</f>
        <v>Wood - Earth</v>
      </c>
      <c r="R16" s="9"/>
      <c r="S16" s="171"/>
    </row>
    <row r="17" spans="1:20" ht="16.5" customHeight="1" x14ac:dyDescent="0.2">
      <c r="C17" s="156" t="s">
        <v>12</v>
      </c>
      <c r="D17" s="157" t="str">
        <f>Bazi!D98</f>
        <v>Rob Wealth</v>
      </c>
      <c r="E17" s="208">
        <f>Bazi!D99</f>
        <v>48</v>
      </c>
      <c r="F17" s="158"/>
      <c r="G17" s="158"/>
      <c r="H17" s="158"/>
      <c r="I17" s="159"/>
      <c r="J17" s="159"/>
      <c r="K17" s="159"/>
      <c r="M17" s="29"/>
      <c r="O17" s="9"/>
      <c r="P17" s="172" t="s">
        <v>13</v>
      </c>
      <c r="Q17" s="213" t="str">
        <f>Bazi!L22&amp;" - "&amp;Bazi!M22</f>
        <v>Jue Yin - Shao Yang</v>
      </c>
      <c r="R17" s="9"/>
      <c r="S17" s="171"/>
    </row>
    <row r="18" spans="1:20" x14ac:dyDescent="0.2">
      <c r="A18" s="165"/>
      <c r="B18" s="165"/>
      <c r="C18" s="155" t="s">
        <v>14</v>
      </c>
      <c r="D18" s="151" t="str">
        <f>Bazi!E98</f>
        <v>Friend</v>
      </c>
      <c r="E18" s="207">
        <f>Bazi!E99</f>
        <v>16</v>
      </c>
      <c r="F18" s="152"/>
      <c r="G18" s="152"/>
      <c r="H18" s="154"/>
      <c r="I18" s="152"/>
      <c r="J18" s="152"/>
      <c r="K18" s="152"/>
      <c r="M18" s="29"/>
      <c r="O18" s="29"/>
      <c r="P18" s="29"/>
      <c r="Q18" s="29"/>
      <c r="R18" s="29"/>
      <c r="S18" s="29"/>
      <c r="T18" s="29"/>
    </row>
    <row r="19" spans="1:20" x14ac:dyDescent="0.2">
      <c r="A19" s="6"/>
      <c r="C19" s="155" t="s">
        <v>15</v>
      </c>
      <c r="D19" s="151" t="str">
        <f>Bazi!F98</f>
        <v>Hurting Officer</v>
      </c>
      <c r="E19" s="207">
        <f>Bazi!F99</f>
        <v>20</v>
      </c>
      <c r="F19" s="152"/>
      <c r="G19" s="152"/>
      <c r="H19" s="154"/>
      <c r="I19" s="152"/>
      <c r="J19" s="152"/>
      <c r="K19" s="152"/>
      <c r="M19" s="29"/>
      <c r="O19" s="29"/>
      <c r="P19" s="29"/>
      <c r="Q19" s="184"/>
      <c r="R19" s="29"/>
      <c r="S19" s="29"/>
      <c r="T19" s="29"/>
    </row>
    <row r="20" spans="1:20" x14ac:dyDescent="0.2">
      <c r="C20" s="155" t="s">
        <v>16</v>
      </c>
      <c r="D20" s="151" t="str">
        <f>Bazi!G98</f>
        <v>Eating God</v>
      </c>
      <c r="E20" s="207">
        <f>Bazi!G99</f>
        <v>60</v>
      </c>
      <c r="F20" s="160"/>
      <c r="G20" s="152"/>
      <c r="H20" s="154"/>
      <c r="I20" s="152"/>
      <c r="J20" s="152"/>
      <c r="K20" s="152"/>
      <c r="M20" s="29"/>
      <c r="N20" s="29"/>
      <c r="O20" s="88"/>
      <c r="T20" s="29"/>
    </row>
    <row r="21" spans="1:20" x14ac:dyDescent="0.2">
      <c r="C21" s="155" t="s">
        <v>17</v>
      </c>
      <c r="D21" s="151" t="str">
        <f>Bazi!H98</f>
        <v>Direct Wealth</v>
      </c>
      <c r="E21" s="207">
        <f>Bazi!H99</f>
        <v>10</v>
      </c>
      <c r="F21" s="160"/>
      <c r="G21" s="152"/>
      <c r="H21" s="154"/>
      <c r="I21" s="152"/>
      <c r="J21" s="152"/>
      <c r="K21" s="152"/>
      <c r="M21" s="29"/>
    </row>
    <row r="22" spans="1:20" x14ac:dyDescent="0.2">
      <c r="C22" s="155" t="s">
        <v>18</v>
      </c>
      <c r="D22" s="151" t="str">
        <f>Bazi!I98</f>
        <v>Indirect Wealth</v>
      </c>
      <c r="E22" s="207">
        <f>Bazi!I99</f>
        <v>0</v>
      </c>
      <c r="F22" s="152"/>
      <c r="G22" s="152"/>
      <c r="H22" s="154"/>
      <c r="I22" s="152"/>
      <c r="J22" s="152"/>
      <c r="K22" s="152"/>
      <c r="M22" s="29"/>
    </row>
    <row r="23" spans="1:20" x14ac:dyDescent="0.2">
      <c r="C23" s="156" t="s">
        <v>19</v>
      </c>
      <c r="D23" s="157" t="str">
        <f>Bazi!J98</f>
        <v>Direct Officer</v>
      </c>
      <c r="E23" s="208">
        <f>Bazi!J99</f>
        <v>50</v>
      </c>
      <c r="F23" s="159"/>
      <c r="G23" s="159"/>
      <c r="H23" s="161"/>
      <c r="I23" s="159"/>
      <c r="J23" s="159"/>
      <c r="K23" s="159"/>
      <c r="M23" s="29"/>
    </row>
    <row r="24" spans="1:20" x14ac:dyDescent="0.2">
      <c r="C24" s="202" t="s">
        <v>20</v>
      </c>
      <c r="D24" s="203" t="str">
        <f>Bazi!K98</f>
        <v>Qi Sha</v>
      </c>
      <c r="E24" s="209">
        <f>Bazi!K99</f>
        <v>100</v>
      </c>
      <c r="F24" s="204"/>
      <c r="G24" s="204"/>
      <c r="H24" s="205"/>
      <c r="I24" s="204"/>
      <c r="J24" s="204"/>
      <c r="K24" s="204"/>
      <c r="M24" s="29"/>
    </row>
    <row r="25" spans="1:20" s="195" customFormat="1" x14ac:dyDescent="0.2">
      <c r="C25" s="218"/>
      <c r="D25" s="219"/>
      <c r="E25" s="220"/>
      <c r="H25" s="221"/>
      <c r="M25" s="222"/>
    </row>
    <row r="26" spans="1:20" s="195" customFormat="1" x14ac:dyDescent="0.2">
      <c r="C26" s="223" t="s">
        <v>21</v>
      </c>
      <c r="D26" s="196"/>
      <c r="E26" s="196"/>
      <c r="F26" s="196"/>
      <c r="H26" s="221"/>
      <c r="Q26" s="225"/>
      <c r="R26" s="225"/>
      <c r="S26" s="225"/>
      <c r="T26" s="225"/>
    </row>
    <row r="27" spans="1:20" s="195" customFormat="1" x14ac:dyDescent="0.2">
      <c r="C27" s="226" t="str">
        <f>"HOUR: "&amp;C8&amp;"/"&amp;C11&amp;" | DAY: "&amp;D8&amp;"/"&amp;D11&amp;" | MONTH: "&amp;E8&amp;"/"&amp;E11&amp;" | YEAR: "&amp;F8&amp;"/"&amp;F11&amp;" | MOON: "&amp;IF(Bazi!E24&gt;30, Bazi!E24&amp;" (intercalary)", Bazi!E24)</f>
        <v>HOUR: Ren/Zi | DAY: Ding/Mao | MONTH: Gui/Wei | YEAR: Yi/Si | MOON: 3</v>
      </c>
      <c r="D27" s="226"/>
      <c r="E27" s="196"/>
      <c r="F27" s="196"/>
      <c r="H27" s="221"/>
      <c r="Q27" s="225"/>
      <c r="R27" s="225"/>
      <c r="S27" s="225"/>
      <c r="T27" s="225"/>
    </row>
    <row r="28" spans="1:20" s="195" customFormat="1" x14ac:dyDescent="0.2">
      <c r="C28" s="226" t="str">
        <f>"Forbidden: "&amp;Bazi!Q189&amp;" ("&amp;Bazi!Q190&amp;") "&amp;Bazi!Q191 &amp;" "&amp;Bazi!Q192</f>
        <v>Forbidden: SI - R (ST - L) 3 leg yang right (GB) Fu / L hand</v>
      </c>
      <c r="D28" s="226"/>
      <c r="E28" s="196"/>
      <c r="F28" s="196"/>
      <c r="H28" s="221"/>
      <c r="Q28" s="225"/>
      <c r="R28" s="225"/>
      <c r="S28" s="225"/>
      <c r="T28" s="225"/>
    </row>
    <row r="29" spans="1:20" s="195" customFormat="1" x14ac:dyDescent="0.2">
      <c r="C29" s="226" t="str">
        <f>"ZWLZ: "&amp;IFERROR(Bazi!B123,"")&amp;" ("&amp;IFERROR(Bazi!C123,"")&amp;") Mother/Child: "&amp;IFERROR(Bazi!D123,"")&amp;"|"&amp;IFERROR(Bazi!E123,"")&amp;" LGBF: "&amp;IFERROR(Bazi!C189,"")</f>
        <v>ZWLZ:   (TH1) Mother/Child: TH3|GB38 LGBF: Ki6</v>
      </c>
      <c r="D29" s="226"/>
      <c r="E29" s="196"/>
      <c r="F29" s="196"/>
      <c r="H29" s="221"/>
      <c r="Q29" s="225"/>
      <c r="R29" s="225"/>
      <c r="S29" s="225"/>
      <c r="T29" s="225"/>
    </row>
    <row r="30" spans="1:20" s="196" customFormat="1" x14ac:dyDescent="0.2">
      <c r="H30" s="216"/>
      <c r="I30" s="216"/>
      <c r="J30" s="217"/>
    </row>
    <row r="31" spans="1:20" s="195" customFormat="1" x14ac:dyDescent="0.2">
      <c r="C31" s="224" t="s">
        <v>22</v>
      </c>
      <c r="D31" s="225"/>
      <c r="E31" s="225"/>
      <c r="H31" s="221"/>
    </row>
    <row r="32" spans="1:20" s="195" customFormat="1" x14ac:dyDescent="0.2">
      <c r="C32" s="227" t="str">
        <f>"Hsiu: "&amp;Bazi!C269</f>
        <v>Hsiu: 2 Dragon - East (Wood)</v>
      </c>
      <c r="D32" s="226"/>
      <c r="E32" s="225"/>
      <c r="F32" s="5"/>
      <c r="G32" s="5"/>
      <c r="H32" s="6"/>
      <c r="I32" s="5"/>
      <c r="J32" s="5"/>
      <c r="K32" s="5"/>
    </row>
    <row r="33" spans="3:19" s="195" customFormat="1" x14ac:dyDescent="0.2">
      <c r="C33" s="227" t="str">
        <f>"Planet: "&amp;Bazi!C273</f>
        <v>Planet: Venus (Metal)</v>
      </c>
      <c r="D33" s="226"/>
      <c r="E33" s="225"/>
      <c r="F33" s="5"/>
      <c r="G33" s="5"/>
      <c r="H33" s="6"/>
      <c r="I33" s="5"/>
      <c r="J33" s="5"/>
      <c r="K33" s="5"/>
      <c r="O33" s="5"/>
      <c r="P33" s="5"/>
      <c r="Q33" s="5"/>
      <c r="R33" s="5"/>
      <c r="S33" s="5"/>
    </row>
    <row r="34" spans="3:19" x14ac:dyDescent="0.2">
      <c r="C34" s="227" t="str">
        <f>"Points: "&amp;Bazi!E273</f>
        <v>Points: Gb44/Liv4  Co1/Lu8</v>
      </c>
      <c r="D34" s="226"/>
      <c r="E34" s="225"/>
    </row>
    <row r="41" spans="3:19" x14ac:dyDescent="0.2">
      <c r="C41" s="226"/>
    </row>
  </sheetData>
  <sheetProtection selectLockedCells="1" selectUnlockedCells="1"/>
  <conditionalFormatting sqref="Q15">
    <cfRule type="expression" dxfId="0" priority="1">
      <formula>"if(D2=&gt;21/01)"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69041-CAF2-45DE-B7CF-F2D7F561A6A9}">
  <sheetPr codeName="Sheet4"/>
  <dimension ref="A2:W275"/>
  <sheetViews>
    <sheetView zoomScale="131" zoomScaleNormal="110" workbookViewId="0">
      <selection activeCell="E24" sqref="E24"/>
    </sheetView>
  </sheetViews>
  <sheetFormatPr baseColWidth="10" defaultColWidth="8.83203125" defaultRowHeight="12" x14ac:dyDescent="0.15"/>
  <cols>
    <col min="1" max="1" width="8.83203125" style="23"/>
    <col min="2" max="2" width="8.83203125" style="23" customWidth="1"/>
    <col min="3" max="3" width="9.1640625" style="23" customWidth="1"/>
    <col min="4" max="8" width="8.83203125" style="23"/>
    <col min="9" max="9" width="10.83203125" style="23" customWidth="1"/>
    <col min="10" max="10" width="11.1640625" style="23" customWidth="1"/>
    <col min="11" max="11" width="12.33203125" style="23" customWidth="1"/>
    <col min="12" max="12" width="10.83203125" style="27" customWidth="1"/>
    <col min="13" max="13" width="12.6640625" style="23" customWidth="1"/>
    <col min="14" max="14" width="16.83203125" style="23" customWidth="1"/>
    <col min="15" max="15" width="10.6640625" style="23" customWidth="1"/>
    <col min="16" max="16" width="11.1640625" style="23" customWidth="1"/>
    <col min="17" max="18" width="10.83203125" style="23" customWidth="1"/>
    <col min="19" max="19" width="10.6640625" style="23" customWidth="1"/>
    <col min="20" max="20" width="10.33203125" style="23" customWidth="1"/>
    <col min="21" max="21" width="12" style="23" customWidth="1"/>
    <col min="22" max="22" width="11.33203125" style="23" customWidth="1"/>
    <col min="23" max="23" width="11.1640625" style="23" customWidth="1"/>
    <col min="24" max="16384" width="8.83203125" style="23"/>
  </cols>
  <sheetData>
    <row r="2" spans="1:22" ht="19" x14ac:dyDescent="0.25">
      <c r="A2" s="60" t="s">
        <v>23</v>
      </c>
    </row>
    <row r="3" spans="1:22" x14ac:dyDescent="0.15">
      <c r="N3" s="35" t="s">
        <v>1</v>
      </c>
      <c r="O3" s="150">
        <f>Front!D2</f>
        <v>44373</v>
      </c>
      <c r="V3" s="182"/>
    </row>
    <row r="4" spans="1:22" x14ac:dyDescent="0.15">
      <c r="B4" s="228" t="s">
        <v>24</v>
      </c>
      <c r="C4" s="17"/>
      <c r="D4" s="17"/>
      <c r="F4" s="228" t="s">
        <v>25</v>
      </c>
      <c r="G4" s="17"/>
      <c r="H4" s="17"/>
      <c r="J4" s="228" t="s">
        <v>26</v>
      </c>
      <c r="K4" s="17"/>
      <c r="L4" s="17"/>
      <c r="M4" s="17"/>
      <c r="N4" s="35" t="s">
        <v>27</v>
      </c>
      <c r="O4" s="148">
        <f>IF(AND(O3&gt;=P4,O3&lt;Q4),P4,IF(AND(O3&gt;=Q4,O3&lt;R4),Q4,IF(AND(O3&gt;=R4,O3&lt;S4),R4,IF(AND(O3&gt;=S4,O3&lt;T4),S4,IF(AND(O3&gt;=T4,O3&lt;U4),T4,IF(AND(O3&gt;=U4,O3&lt;V4),U4,"no"))))))</f>
        <v>44361</v>
      </c>
      <c r="P4" s="137">
        <f>DATE(YEAR(Calc!D29),1,20)</f>
        <v>44215</v>
      </c>
      <c r="Q4" s="137">
        <f>DATE(YEAR(Calc!D29),4,3)</f>
        <v>44288</v>
      </c>
      <c r="R4" s="137">
        <f>DATE(YEAR(Calc!D29),6,15)</f>
        <v>44361</v>
      </c>
      <c r="S4" s="137">
        <f>DATE(YEAR(Calc!D29),8,27)</f>
        <v>44434</v>
      </c>
      <c r="T4" s="137">
        <f>DATE(YEAR(Calc!D29),11,8)</f>
        <v>44507</v>
      </c>
      <c r="U4" s="139">
        <f>DATE((YEAR(Calc!D29)+1),1,20)</f>
        <v>44580</v>
      </c>
      <c r="V4" s="183">
        <f>Calc!P29</f>
        <v>44608</v>
      </c>
    </row>
    <row r="5" spans="1:22" x14ac:dyDescent="0.15">
      <c r="B5" s="24" t="s">
        <v>28</v>
      </c>
      <c r="C5" s="17" t="s">
        <v>29</v>
      </c>
      <c r="D5" s="24" t="s">
        <v>30</v>
      </c>
      <c r="F5" s="24" t="s">
        <v>31</v>
      </c>
      <c r="G5" s="17" t="s">
        <v>32</v>
      </c>
      <c r="H5" s="24" t="s">
        <v>30</v>
      </c>
      <c r="J5" s="17">
        <v>1</v>
      </c>
      <c r="K5" s="17" t="s">
        <v>33</v>
      </c>
      <c r="L5" s="17" t="s">
        <v>34</v>
      </c>
      <c r="M5" s="169" t="s">
        <v>35</v>
      </c>
      <c r="O5" s="138" t="s">
        <v>36</v>
      </c>
      <c r="P5" s="140" t="s">
        <v>37</v>
      </c>
      <c r="Q5" s="116" t="s">
        <v>35</v>
      </c>
      <c r="R5" s="141" t="s">
        <v>38</v>
      </c>
      <c r="S5" s="140" t="s">
        <v>39</v>
      </c>
      <c r="T5" s="143" t="s">
        <v>40</v>
      </c>
      <c r="U5" s="140" t="s">
        <v>37</v>
      </c>
      <c r="V5" s="144"/>
    </row>
    <row r="6" spans="1:22" x14ac:dyDescent="0.15">
      <c r="B6" s="24" t="s">
        <v>41</v>
      </c>
      <c r="C6" s="17" t="s">
        <v>42</v>
      </c>
      <c r="D6" s="24" t="s">
        <v>43</v>
      </c>
      <c r="F6" s="24" t="s">
        <v>44</v>
      </c>
      <c r="G6" s="17" t="s">
        <v>45</v>
      </c>
      <c r="H6" s="24" t="s">
        <v>43</v>
      </c>
      <c r="J6" s="17">
        <v>2</v>
      </c>
      <c r="K6" s="17" t="s">
        <v>46</v>
      </c>
      <c r="L6" s="17" t="s">
        <v>38</v>
      </c>
      <c r="M6" s="169" t="s">
        <v>38</v>
      </c>
      <c r="O6" s="138" t="s">
        <v>28</v>
      </c>
      <c r="P6" s="136" t="s">
        <v>38</v>
      </c>
      <c r="Q6" s="17" t="s">
        <v>39</v>
      </c>
      <c r="R6" s="17" t="s">
        <v>40</v>
      </c>
      <c r="S6" s="17" t="s">
        <v>37</v>
      </c>
      <c r="T6" s="40" t="s">
        <v>35</v>
      </c>
      <c r="U6" s="136" t="s">
        <v>38</v>
      </c>
      <c r="V6" s="145"/>
    </row>
    <row r="7" spans="1:22" x14ac:dyDescent="0.15">
      <c r="B7" s="24" t="s">
        <v>47</v>
      </c>
      <c r="C7" s="17" t="s">
        <v>48</v>
      </c>
      <c r="D7" s="24" t="s">
        <v>49</v>
      </c>
      <c r="F7" s="24" t="s">
        <v>50</v>
      </c>
      <c r="G7" s="17" t="s">
        <v>51</v>
      </c>
      <c r="H7" s="24" t="s">
        <v>52</v>
      </c>
      <c r="J7" s="17">
        <v>3</v>
      </c>
      <c r="K7" s="17" t="s">
        <v>53</v>
      </c>
      <c r="L7" s="17" t="s">
        <v>54</v>
      </c>
      <c r="M7" s="169" t="s">
        <v>35</v>
      </c>
      <c r="O7" s="138" t="s">
        <v>41</v>
      </c>
      <c r="P7" s="17" t="s">
        <v>39</v>
      </c>
      <c r="Q7" s="17" t="s">
        <v>40</v>
      </c>
      <c r="R7" s="17" t="s">
        <v>37</v>
      </c>
      <c r="S7" s="40" t="s">
        <v>35</v>
      </c>
      <c r="T7" s="136" t="s">
        <v>38</v>
      </c>
      <c r="U7" s="17" t="s">
        <v>39</v>
      </c>
      <c r="V7" s="145"/>
    </row>
    <row r="8" spans="1:22" x14ac:dyDescent="0.15">
      <c r="B8" s="24" t="s">
        <v>55</v>
      </c>
      <c r="C8" s="17" t="s">
        <v>56</v>
      </c>
      <c r="D8" s="24" t="s">
        <v>57</v>
      </c>
      <c r="F8" s="24" t="s">
        <v>58</v>
      </c>
      <c r="G8" s="17" t="s">
        <v>59</v>
      </c>
      <c r="H8" s="24" t="s">
        <v>60</v>
      </c>
      <c r="J8" s="17">
        <v>4</v>
      </c>
      <c r="K8" s="17" t="s">
        <v>61</v>
      </c>
      <c r="L8" s="17" t="s">
        <v>39</v>
      </c>
      <c r="M8" s="169" t="s">
        <v>39</v>
      </c>
      <c r="O8" s="138" t="s">
        <v>47</v>
      </c>
      <c r="P8" s="17" t="s">
        <v>40</v>
      </c>
      <c r="Q8" s="17" t="s">
        <v>37</v>
      </c>
      <c r="R8" s="40" t="s">
        <v>35</v>
      </c>
      <c r="S8" s="136" t="s">
        <v>38</v>
      </c>
      <c r="T8" s="17" t="s">
        <v>39</v>
      </c>
      <c r="U8" s="17" t="s">
        <v>40</v>
      </c>
      <c r="V8" s="145"/>
    </row>
    <row r="9" spans="1:22" x14ac:dyDescent="0.15">
      <c r="B9" s="24" t="s">
        <v>62</v>
      </c>
      <c r="C9" s="17" t="s">
        <v>63</v>
      </c>
      <c r="D9" s="24" t="s">
        <v>64</v>
      </c>
      <c r="F9" s="24" t="s">
        <v>65</v>
      </c>
      <c r="G9" s="17" t="s">
        <v>66</v>
      </c>
      <c r="H9" s="24" t="s">
        <v>64</v>
      </c>
      <c r="J9" s="17">
        <v>5</v>
      </c>
      <c r="K9" s="17" t="s">
        <v>67</v>
      </c>
      <c r="L9" s="17" t="s">
        <v>40</v>
      </c>
      <c r="M9" s="169" t="s">
        <v>40</v>
      </c>
      <c r="O9" s="138" t="s">
        <v>55</v>
      </c>
      <c r="P9" s="17" t="s">
        <v>37</v>
      </c>
      <c r="Q9" s="40" t="s">
        <v>35</v>
      </c>
      <c r="R9" s="136" t="s">
        <v>38</v>
      </c>
      <c r="S9" s="17" t="s">
        <v>39</v>
      </c>
      <c r="T9" s="17" t="s">
        <v>40</v>
      </c>
      <c r="U9" s="17" t="s">
        <v>37</v>
      </c>
      <c r="V9" s="145"/>
    </row>
    <row r="10" spans="1:22" x14ac:dyDescent="0.15">
      <c r="B10" s="24" t="s">
        <v>68</v>
      </c>
      <c r="C10" s="17" t="s">
        <v>69</v>
      </c>
      <c r="D10" s="24" t="s">
        <v>70</v>
      </c>
      <c r="F10" s="24" t="s">
        <v>71</v>
      </c>
      <c r="G10" s="17" t="s">
        <v>72</v>
      </c>
      <c r="H10" s="24" t="s">
        <v>70</v>
      </c>
      <c r="J10" s="17">
        <v>6</v>
      </c>
      <c r="K10" s="17" t="s">
        <v>73</v>
      </c>
      <c r="L10" s="17" t="s">
        <v>37</v>
      </c>
      <c r="M10" s="169" t="s">
        <v>37</v>
      </c>
      <c r="O10" s="138" t="s">
        <v>62</v>
      </c>
      <c r="P10" s="40" t="s">
        <v>35</v>
      </c>
      <c r="Q10" s="136" t="s">
        <v>38</v>
      </c>
      <c r="R10" s="17" t="s">
        <v>39</v>
      </c>
      <c r="S10" s="17" t="s">
        <v>40</v>
      </c>
      <c r="T10" s="17" t="s">
        <v>37</v>
      </c>
      <c r="U10" s="40" t="s">
        <v>35</v>
      </c>
      <c r="V10" s="145"/>
    </row>
    <row r="11" spans="1:22" x14ac:dyDescent="0.15">
      <c r="B11" s="24" t="s">
        <v>74</v>
      </c>
      <c r="C11" s="17" t="s">
        <v>75</v>
      </c>
      <c r="D11" s="24" t="s">
        <v>76</v>
      </c>
      <c r="F11" s="24" t="s">
        <v>62</v>
      </c>
      <c r="G11" s="17" t="s">
        <v>77</v>
      </c>
      <c r="H11" s="24" t="s">
        <v>57</v>
      </c>
      <c r="J11" s="1"/>
      <c r="K11" s="1"/>
      <c r="L11" s="1"/>
      <c r="O11" s="138" t="s">
        <v>68</v>
      </c>
      <c r="P11" s="136" t="s">
        <v>38</v>
      </c>
      <c r="Q11" s="17" t="s">
        <v>39</v>
      </c>
      <c r="R11" s="17" t="s">
        <v>40</v>
      </c>
      <c r="S11" s="17" t="s">
        <v>37</v>
      </c>
      <c r="T11" s="40" t="s">
        <v>35</v>
      </c>
      <c r="U11" s="136" t="s">
        <v>38</v>
      </c>
      <c r="V11" s="145"/>
    </row>
    <row r="12" spans="1:22" x14ac:dyDescent="0.15">
      <c r="B12" s="24" t="s">
        <v>78</v>
      </c>
      <c r="C12" s="17" t="s">
        <v>79</v>
      </c>
      <c r="D12" s="24" t="s">
        <v>52</v>
      </c>
      <c r="F12" s="24" t="s">
        <v>80</v>
      </c>
      <c r="G12" s="17" t="s">
        <v>81</v>
      </c>
      <c r="H12" s="24" t="s">
        <v>49</v>
      </c>
      <c r="J12" s="167" t="s">
        <v>82</v>
      </c>
      <c r="K12" s="166" t="s">
        <v>83</v>
      </c>
      <c r="L12" s="166" t="s">
        <v>84</v>
      </c>
      <c r="M12" s="166"/>
      <c r="O12" s="138" t="s">
        <v>74</v>
      </c>
      <c r="P12" s="17" t="s">
        <v>39</v>
      </c>
      <c r="Q12" s="17" t="s">
        <v>40</v>
      </c>
      <c r="R12" s="17" t="s">
        <v>37</v>
      </c>
      <c r="S12" s="40" t="s">
        <v>35</v>
      </c>
      <c r="T12" s="136" t="s">
        <v>38</v>
      </c>
      <c r="U12" s="17" t="s">
        <v>39</v>
      </c>
      <c r="V12" s="145"/>
    </row>
    <row r="13" spans="1:22" x14ac:dyDescent="0.15">
      <c r="B13" s="24" t="s">
        <v>85</v>
      </c>
      <c r="C13" s="17" t="s">
        <v>86</v>
      </c>
      <c r="D13" s="24" t="s">
        <v>87</v>
      </c>
      <c r="F13" s="24" t="s">
        <v>88</v>
      </c>
      <c r="G13" s="17" t="s">
        <v>89</v>
      </c>
      <c r="H13" s="24" t="s">
        <v>87</v>
      </c>
      <c r="J13" s="167" t="s">
        <v>90</v>
      </c>
      <c r="K13" s="166" t="s">
        <v>83</v>
      </c>
      <c r="L13" s="166" t="s">
        <v>91</v>
      </c>
      <c r="M13" s="166"/>
      <c r="O13" s="138" t="s">
        <v>78</v>
      </c>
      <c r="P13" s="17" t="s">
        <v>40</v>
      </c>
      <c r="Q13" s="17" t="s">
        <v>37</v>
      </c>
      <c r="R13" s="40" t="s">
        <v>35</v>
      </c>
      <c r="S13" s="136" t="s">
        <v>38</v>
      </c>
      <c r="T13" s="17" t="s">
        <v>39</v>
      </c>
      <c r="U13" s="17" t="s">
        <v>40</v>
      </c>
      <c r="V13" s="145"/>
    </row>
    <row r="14" spans="1:22" x14ac:dyDescent="0.15">
      <c r="B14" s="24" t="s">
        <v>92</v>
      </c>
      <c r="C14" s="17" t="s">
        <v>93</v>
      </c>
      <c r="D14" s="24" t="s">
        <v>94</v>
      </c>
      <c r="F14" s="24" t="s">
        <v>95</v>
      </c>
      <c r="G14" s="17" t="s">
        <v>96</v>
      </c>
      <c r="H14" s="24" t="s">
        <v>94</v>
      </c>
      <c r="J14" s="167" t="s">
        <v>97</v>
      </c>
      <c r="K14" s="166" t="s">
        <v>83</v>
      </c>
      <c r="L14" s="166" t="s">
        <v>84</v>
      </c>
      <c r="M14" s="166" t="s">
        <v>91</v>
      </c>
      <c r="O14" s="138" t="s">
        <v>85</v>
      </c>
      <c r="P14" s="17" t="s">
        <v>37</v>
      </c>
      <c r="Q14" s="40" t="s">
        <v>35</v>
      </c>
      <c r="R14" s="136" t="s">
        <v>38</v>
      </c>
      <c r="S14" s="17" t="s">
        <v>39</v>
      </c>
      <c r="T14" s="17" t="s">
        <v>40</v>
      </c>
      <c r="U14" s="17" t="s">
        <v>37</v>
      </c>
      <c r="V14" s="145"/>
    </row>
    <row r="15" spans="1:22" x14ac:dyDescent="0.15">
      <c r="B15" s="1"/>
      <c r="C15" s="1"/>
      <c r="D15" s="1"/>
      <c r="E15" s="1"/>
      <c r="F15" s="24" t="s">
        <v>98</v>
      </c>
      <c r="G15" s="17" t="s">
        <v>99</v>
      </c>
      <c r="H15" s="24" t="s">
        <v>100</v>
      </c>
      <c r="J15" s="167" t="s">
        <v>101</v>
      </c>
      <c r="K15" s="166" t="s">
        <v>102</v>
      </c>
      <c r="L15" s="166" t="s">
        <v>103</v>
      </c>
      <c r="M15" s="166"/>
      <c r="O15" s="138" t="s">
        <v>92</v>
      </c>
      <c r="P15" s="40" t="s">
        <v>35</v>
      </c>
      <c r="Q15" s="136" t="s">
        <v>38</v>
      </c>
      <c r="R15" s="17" t="s">
        <v>39</v>
      </c>
      <c r="S15" s="17" t="s">
        <v>40</v>
      </c>
      <c r="T15" s="17" t="s">
        <v>37</v>
      </c>
      <c r="U15" s="40" t="s">
        <v>35</v>
      </c>
      <c r="V15" s="146"/>
    </row>
    <row r="16" spans="1:22" x14ac:dyDescent="0.15">
      <c r="B16" s="1"/>
      <c r="C16" s="1"/>
      <c r="D16" s="1"/>
      <c r="E16" s="1"/>
      <c r="F16" s="24" t="s">
        <v>104</v>
      </c>
      <c r="G16" s="17" t="s">
        <v>105</v>
      </c>
      <c r="H16" s="24" t="s">
        <v>106</v>
      </c>
      <c r="J16" s="167" t="s">
        <v>107</v>
      </c>
      <c r="K16" s="166" t="s">
        <v>108</v>
      </c>
      <c r="L16" s="166" t="s">
        <v>103</v>
      </c>
      <c r="M16" s="166"/>
      <c r="O16" s="142"/>
    </row>
    <row r="17" spans="1:23" x14ac:dyDescent="0.15">
      <c r="N17" s="35" t="s">
        <v>27</v>
      </c>
      <c r="O17" s="148">
        <f>IF(AND(O3&gt;=P17,O3&lt;Q17),P17,IF(AND(O3&gt;=Q17,O3&lt;R17),Q17,IF(AND(O3&gt;=R17,O3&lt;S17),R17,IF(AND(O3&gt;=S17,O3&lt;T17),S17,IF(AND(O3&gt;=T17,O3&lt;U17),T17,IF(AND(O3&gt;=U17,O3&lt;V17),U17,IF(AND(O3&gt;=V17,O3&lt;W17),V17,"no")))))))</f>
        <v>44335</v>
      </c>
      <c r="P17" s="137">
        <f>DATE(YEAR(Calc!D29),1,20)</f>
        <v>44215</v>
      </c>
      <c r="Q17" s="139">
        <f>DATE(YEAR(Calc!D29),3,20)</f>
        <v>44274</v>
      </c>
      <c r="R17" s="139">
        <f>DATE(YEAR(Calc!D29),5,20)</f>
        <v>44335</v>
      </c>
      <c r="S17" s="139">
        <f>DATE(YEAR(Calc!D29),7,23)</f>
        <v>44399</v>
      </c>
      <c r="T17" s="139">
        <f>DATE(YEAR(Calc!D29),9,23)</f>
        <v>44461</v>
      </c>
      <c r="U17" s="139">
        <f>DATE(YEAR(Calc!D29),11,26)</f>
        <v>44525</v>
      </c>
      <c r="V17" s="147">
        <f>DATE((YEAR(Calc!D29)+1),1,20)</f>
        <v>44580</v>
      </c>
      <c r="W17" s="183">
        <f>Calc!P29</f>
        <v>44608</v>
      </c>
    </row>
    <row r="18" spans="1:23" x14ac:dyDescent="0.15">
      <c r="I18" s="106" t="s">
        <v>103</v>
      </c>
      <c r="J18" s="106" t="s">
        <v>109</v>
      </c>
      <c r="K18" s="106" t="s">
        <v>110</v>
      </c>
      <c r="L18" s="106" t="s">
        <v>84</v>
      </c>
      <c r="M18" s="106" t="s">
        <v>83</v>
      </c>
      <c r="O18" s="138" t="s">
        <v>36</v>
      </c>
      <c r="P18" s="116" t="s">
        <v>73</v>
      </c>
      <c r="Q18" s="116" t="s">
        <v>33</v>
      </c>
      <c r="R18" s="116" t="s">
        <v>53</v>
      </c>
      <c r="S18" s="116" t="s">
        <v>46</v>
      </c>
      <c r="T18" s="116" t="s">
        <v>61</v>
      </c>
      <c r="U18" s="146" t="s">
        <v>67</v>
      </c>
      <c r="V18" s="116" t="s">
        <v>73</v>
      </c>
      <c r="W18" s="144"/>
    </row>
    <row r="19" spans="1:23" ht="15" x14ac:dyDescent="0.2">
      <c r="A19" s="26" t="s">
        <v>111</v>
      </c>
      <c r="I19" s="185" t="str">
        <f>IF(AND(O3&gt;=U4,O3&lt;V4),INDEX(U19:U31,MATCH(G22,O19:O31,0)+1,1),INDEX(U19:U31,MATCH(G22,O19:O31,0)))</f>
        <v>Shao Yang</v>
      </c>
      <c r="J19" s="149" t="str">
        <f>Calc!K21</f>
        <v>Wood</v>
      </c>
      <c r="K19" s="149" t="str">
        <f>Calc!K25</f>
        <v>Jue Yin</v>
      </c>
      <c r="L19" s="185" t="str">
        <f>IF(AND(O3&gt;=U4,O3&lt;V4),INDEX(R19:R31,MATCH(G22,O19:O31,0)+1,1),INDEX(R19:R31,MATCH(G22,O19:O31,0)))</f>
        <v>Jue Yin</v>
      </c>
      <c r="M19" s="185" t="str">
        <f>IF(AND(O3&gt;=U4,O3&lt;V4),IF(G21="Gui","Earth",INDEX(J28:J37,MATCH(G21,B28:B37,0)+1,1)),INDEX(J28:J37,MATCH(G21,B28:B37,0)))</f>
        <v>Metal</v>
      </c>
      <c r="O19" s="61" t="s">
        <v>31</v>
      </c>
      <c r="P19" s="40" t="s">
        <v>67</v>
      </c>
      <c r="Q19" s="40" t="s">
        <v>73</v>
      </c>
      <c r="R19" s="41" t="s">
        <v>33</v>
      </c>
      <c r="S19" s="40" t="s">
        <v>46</v>
      </c>
      <c r="T19" s="40" t="s">
        <v>53</v>
      </c>
      <c r="U19" s="41" t="s">
        <v>61</v>
      </c>
      <c r="V19" s="40" t="s">
        <v>67</v>
      </c>
      <c r="W19" s="145"/>
    </row>
    <row r="20" spans="1:23" ht="16" thickBot="1" x14ac:dyDescent="0.25">
      <c r="A20" s="26"/>
      <c r="I20" s="168" t="str">
        <f>VLOOKUP(I19,K5:M10,3,)</f>
        <v>Fire</v>
      </c>
      <c r="L20" s="168" t="str">
        <f>VLOOKUP(L19,K5:M10,3,)</f>
        <v>Wood</v>
      </c>
      <c r="M20" s="168" t="str">
        <f>IF(AND(O3&gt;=U4,O3&lt;V4),IF(G21="Gui","Yang",INDEX(H28:H37,MATCH(G21,B28:B37,0)+1,1)),INDEX(H28:H37,MATCH(G21,B28:B37,0)))</f>
        <v>Yin</v>
      </c>
      <c r="O20" s="61" t="s">
        <v>44</v>
      </c>
      <c r="P20" s="40" t="s">
        <v>73</v>
      </c>
      <c r="Q20" s="40" t="s">
        <v>33</v>
      </c>
      <c r="R20" s="41" t="s">
        <v>46</v>
      </c>
      <c r="S20" s="40" t="s">
        <v>53</v>
      </c>
      <c r="T20" s="40" t="s">
        <v>61</v>
      </c>
      <c r="U20" s="41" t="s">
        <v>67</v>
      </c>
      <c r="V20" s="40" t="s">
        <v>73</v>
      </c>
      <c r="W20" s="145"/>
    </row>
    <row r="21" spans="1:23" ht="16" thickBot="1" x14ac:dyDescent="0.25">
      <c r="A21" s="26"/>
      <c r="C21" s="26" t="s">
        <v>112</v>
      </c>
      <c r="D21" s="52" t="str">
        <f>Calc!D53</f>
        <v>Ren</v>
      </c>
      <c r="E21" s="53" t="str">
        <f>Calc!D40</f>
        <v>Ding</v>
      </c>
      <c r="F21" s="54" t="str">
        <f>Calc!D35</f>
        <v>Gui</v>
      </c>
      <c r="G21" s="55" t="str">
        <f>Calc!D24</f>
        <v>Yi</v>
      </c>
      <c r="H21" s="35"/>
      <c r="I21" s="106" t="s">
        <v>113</v>
      </c>
      <c r="J21" s="106" t="s">
        <v>114</v>
      </c>
      <c r="K21" s="106" t="s">
        <v>115</v>
      </c>
      <c r="L21" s="106" t="s">
        <v>116</v>
      </c>
      <c r="M21" s="106" t="s">
        <v>117</v>
      </c>
      <c r="O21" s="61" t="s">
        <v>50</v>
      </c>
      <c r="P21" s="40" t="s">
        <v>33</v>
      </c>
      <c r="Q21" s="40" t="s">
        <v>46</v>
      </c>
      <c r="R21" s="41" t="s">
        <v>53</v>
      </c>
      <c r="S21" s="40" t="s">
        <v>61</v>
      </c>
      <c r="T21" s="40" t="s">
        <v>67</v>
      </c>
      <c r="U21" s="41" t="s">
        <v>73</v>
      </c>
      <c r="V21" s="40" t="s">
        <v>33</v>
      </c>
      <c r="W21" s="145"/>
    </row>
    <row r="22" spans="1:23" ht="16" thickBot="1" x14ac:dyDescent="0.25">
      <c r="A22" s="26"/>
      <c r="D22" s="55" t="str">
        <f>Calc!G53</f>
        <v>Zi</v>
      </c>
      <c r="E22" s="56" t="str">
        <f>Calc!G40</f>
        <v>Mao</v>
      </c>
      <c r="F22" s="53" t="str">
        <f>Calc!G35</f>
        <v>Wei</v>
      </c>
      <c r="G22" s="57" t="str">
        <f>Calc!G24</f>
        <v>Si</v>
      </c>
      <c r="I22" s="149" t="str">
        <f>VLOOKUP(G22,B38:I49,8,0)</f>
        <v>Fire</v>
      </c>
      <c r="J22" s="149" t="str">
        <f>INDEX(P6:U15,MATCH(G21,O6:O15,0),MATCH(O4,P4:U4,0))</f>
        <v>Wood</v>
      </c>
      <c r="K22" s="149" t="str">
        <f>INDEX(P5:U5,MATCH("Host",O5,0),MATCH(O4,P4:U4,0))</f>
        <v>Earth</v>
      </c>
      <c r="L22" s="149" t="str">
        <f>INDEX(P19:V30,MATCH(G22,O19:O30,0),MATCH(O17,P17:V17,0))</f>
        <v>Jue Yin</v>
      </c>
      <c r="M22" s="149" t="str">
        <f>INDEX(P18:V18,MATCH("Host",O18,0),MATCH(O17,P17:V17,0))</f>
        <v>Shao Yang</v>
      </c>
      <c r="O22" s="61" t="s">
        <v>58</v>
      </c>
      <c r="P22" s="40" t="s">
        <v>46</v>
      </c>
      <c r="Q22" s="40" t="s">
        <v>53</v>
      </c>
      <c r="R22" s="41" t="s">
        <v>61</v>
      </c>
      <c r="S22" s="40" t="s">
        <v>67</v>
      </c>
      <c r="T22" s="40" t="s">
        <v>73</v>
      </c>
      <c r="U22" s="41" t="s">
        <v>33</v>
      </c>
      <c r="V22" s="40" t="s">
        <v>46</v>
      </c>
      <c r="W22" s="145"/>
    </row>
    <row r="23" spans="1:23" ht="15" x14ac:dyDescent="0.2">
      <c r="A23" s="26"/>
      <c r="D23" s="67"/>
      <c r="E23" s="67"/>
      <c r="F23" s="133"/>
      <c r="G23" s="67"/>
      <c r="O23" s="61" t="s">
        <v>65</v>
      </c>
      <c r="P23" s="40" t="s">
        <v>53</v>
      </c>
      <c r="Q23" s="40" t="s">
        <v>61</v>
      </c>
      <c r="R23" s="41" t="s">
        <v>67</v>
      </c>
      <c r="S23" s="40" t="s">
        <v>73</v>
      </c>
      <c r="T23" s="40" t="s">
        <v>33</v>
      </c>
      <c r="U23" s="41" t="s">
        <v>46</v>
      </c>
      <c r="V23" s="40" t="s">
        <v>53</v>
      </c>
      <c r="W23" s="145"/>
    </row>
    <row r="24" spans="1:23" ht="15" x14ac:dyDescent="0.2">
      <c r="A24" s="26"/>
      <c r="D24" s="106" t="s">
        <v>118</v>
      </c>
      <c r="E24" s="149">
        <f>DATEDIF(INDEX(Calc!D28:'Calc'!O29,2,Calc!D32),Front!D2,"d")+1</f>
        <v>3</v>
      </c>
      <c r="F24" s="133"/>
      <c r="G24" s="67"/>
      <c r="I24" s="25" t="s">
        <v>119</v>
      </c>
      <c r="K24" s="194" t="str">
        <f>IF(AND(O3&gt;=U4,O3&lt;V4),I25&amp;"*",I25)</f>
        <v>None</v>
      </c>
      <c r="O24" s="61" t="s">
        <v>71</v>
      </c>
      <c r="P24" s="40" t="s">
        <v>61</v>
      </c>
      <c r="Q24" s="40" t="s">
        <v>67</v>
      </c>
      <c r="R24" s="41" t="s">
        <v>73</v>
      </c>
      <c r="S24" s="40" t="s">
        <v>33</v>
      </c>
      <c r="T24" s="40" t="s">
        <v>46</v>
      </c>
      <c r="U24" s="41" t="s">
        <v>53</v>
      </c>
      <c r="V24" s="40" t="s">
        <v>61</v>
      </c>
      <c r="W24" s="145"/>
    </row>
    <row r="25" spans="1:23" ht="15" x14ac:dyDescent="0.2">
      <c r="A25" s="26"/>
      <c r="D25" s="67"/>
      <c r="E25" s="67"/>
      <c r="F25" s="133"/>
      <c r="G25" s="67"/>
      <c r="I25" s="186" t="str">
        <f>IF(AND(M19=L20,L20=I22),"Celestial Concordance of Great Yi in "&amp;M19,IF(M19=L20,"Celestial Concordance in "&amp;M19,IF(AND(M20="Yang",M19=I20),"Common Celestial Concordance in "&amp;M19,IF(M19=I22,"Yearly Meeting in "&amp;M19,IF(AND(M20="Yin",M19=I20),"Common Yearly Meeting in "&amp;M19,"None")))))</f>
        <v>None</v>
      </c>
      <c r="J25" s="27"/>
      <c r="K25" s="180" t="str">
        <f>IF(AND(O3&gt;=U4,O3&lt;V4),"(*) The new GM ("&amp;M19&amp;") has started already","")</f>
        <v/>
      </c>
      <c r="M25" s="180"/>
      <c r="O25" s="61" t="s">
        <v>62</v>
      </c>
      <c r="P25" s="40" t="s">
        <v>67</v>
      </c>
      <c r="Q25" s="40" t="s">
        <v>73</v>
      </c>
      <c r="R25" s="41" t="s">
        <v>33</v>
      </c>
      <c r="S25" s="40" t="s">
        <v>46</v>
      </c>
      <c r="T25" s="40" t="s">
        <v>53</v>
      </c>
      <c r="U25" s="41" t="s">
        <v>61</v>
      </c>
      <c r="V25" s="40" t="s">
        <v>67</v>
      </c>
      <c r="W25" s="145"/>
    </row>
    <row r="26" spans="1:23" x14ac:dyDescent="0.15">
      <c r="L26" s="167"/>
      <c r="M26" s="180"/>
      <c r="O26" s="61" t="s">
        <v>80</v>
      </c>
      <c r="P26" s="40" t="s">
        <v>73</v>
      </c>
      <c r="Q26" s="40" t="s">
        <v>33</v>
      </c>
      <c r="R26" s="41" t="s">
        <v>46</v>
      </c>
      <c r="S26" s="40" t="s">
        <v>53</v>
      </c>
      <c r="T26" s="40" t="s">
        <v>61</v>
      </c>
      <c r="U26" s="41" t="s">
        <v>67</v>
      </c>
      <c r="V26" s="40" t="s">
        <v>73</v>
      </c>
      <c r="W26" s="145"/>
    </row>
    <row r="27" spans="1:23" x14ac:dyDescent="0.15">
      <c r="B27" s="17"/>
      <c r="C27" s="18" t="s">
        <v>37</v>
      </c>
      <c r="D27" s="18" t="s">
        <v>35</v>
      </c>
      <c r="E27" s="18" t="s">
        <v>38</v>
      </c>
      <c r="F27" s="18" t="s">
        <v>39</v>
      </c>
      <c r="G27" s="18" t="s">
        <v>40</v>
      </c>
      <c r="H27" s="17" t="s">
        <v>120</v>
      </c>
      <c r="I27" s="40" t="s">
        <v>121</v>
      </c>
      <c r="J27" s="40" t="s">
        <v>83</v>
      </c>
      <c r="L27" s="167"/>
      <c r="M27" s="180"/>
      <c r="O27" s="61" t="s">
        <v>88</v>
      </c>
      <c r="P27" s="40" t="s">
        <v>33</v>
      </c>
      <c r="Q27" s="40" t="s">
        <v>46</v>
      </c>
      <c r="R27" s="41" t="s">
        <v>53</v>
      </c>
      <c r="S27" s="40" t="s">
        <v>61</v>
      </c>
      <c r="T27" s="40" t="s">
        <v>67</v>
      </c>
      <c r="U27" s="41" t="s">
        <v>73</v>
      </c>
      <c r="V27" s="40" t="s">
        <v>33</v>
      </c>
      <c r="W27" s="145"/>
    </row>
    <row r="28" spans="1:23" x14ac:dyDescent="0.15">
      <c r="A28" s="23" t="s">
        <v>122</v>
      </c>
      <c r="B28" s="61" t="s">
        <v>28</v>
      </c>
      <c r="C28" s="61">
        <v>100</v>
      </c>
      <c r="D28" s="24"/>
      <c r="E28" s="24"/>
      <c r="F28" s="24"/>
      <c r="G28" s="24"/>
      <c r="H28" s="17" t="s">
        <v>123</v>
      </c>
      <c r="I28" s="17" t="s">
        <v>37</v>
      </c>
      <c r="J28" s="40" t="s">
        <v>38</v>
      </c>
      <c r="L28" s="167"/>
      <c r="M28" s="180"/>
      <c r="O28" s="61" t="s">
        <v>95</v>
      </c>
      <c r="P28" s="40" t="s">
        <v>46</v>
      </c>
      <c r="Q28" s="40" t="s">
        <v>53</v>
      </c>
      <c r="R28" s="41" t="s">
        <v>61</v>
      </c>
      <c r="S28" s="40" t="s">
        <v>67</v>
      </c>
      <c r="T28" s="40" t="s">
        <v>73</v>
      </c>
      <c r="U28" s="41" t="s">
        <v>33</v>
      </c>
      <c r="V28" s="40" t="s">
        <v>46</v>
      </c>
      <c r="W28" s="145"/>
    </row>
    <row r="29" spans="1:23" x14ac:dyDescent="0.15">
      <c r="B29" s="61" t="s">
        <v>41</v>
      </c>
      <c r="C29" s="24">
        <v>100</v>
      </c>
      <c r="D29" s="24"/>
      <c r="E29" s="24"/>
      <c r="F29" s="24"/>
      <c r="G29" s="24"/>
      <c r="H29" s="17" t="s">
        <v>50</v>
      </c>
      <c r="I29" s="17" t="s">
        <v>37</v>
      </c>
      <c r="J29" s="40" t="s">
        <v>39</v>
      </c>
      <c r="O29" s="61" t="s">
        <v>98</v>
      </c>
      <c r="P29" s="40" t="s">
        <v>53</v>
      </c>
      <c r="Q29" s="40" t="s">
        <v>61</v>
      </c>
      <c r="R29" s="41" t="s">
        <v>67</v>
      </c>
      <c r="S29" s="40" t="s">
        <v>73</v>
      </c>
      <c r="T29" s="40" t="s">
        <v>33</v>
      </c>
      <c r="U29" s="41" t="s">
        <v>46</v>
      </c>
      <c r="V29" s="40" t="s">
        <v>53</v>
      </c>
      <c r="W29" s="145"/>
    </row>
    <row r="30" spans="1:23" x14ac:dyDescent="0.15">
      <c r="B30" s="61" t="s">
        <v>47</v>
      </c>
      <c r="C30" s="24"/>
      <c r="D30" s="61">
        <v>100</v>
      </c>
      <c r="E30" s="24"/>
      <c r="F30" s="24"/>
      <c r="G30" s="24"/>
      <c r="H30" s="17" t="s">
        <v>123</v>
      </c>
      <c r="I30" s="17" t="s">
        <v>35</v>
      </c>
      <c r="J30" s="40" t="s">
        <v>40</v>
      </c>
      <c r="O30" s="61" t="s">
        <v>104</v>
      </c>
      <c r="P30" s="40" t="s">
        <v>61</v>
      </c>
      <c r="Q30" s="40" t="s">
        <v>67</v>
      </c>
      <c r="R30" s="41" t="s">
        <v>73</v>
      </c>
      <c r="S30" s="40" t="s">
        <v>33</v>
      </c>
      <c r="T30" s="40" t="s">
        <v>46</v>
      </c>
      <c r="U30" s="41" t="s">
        <v>53</v>
      </c>
      <c r="V30" s="40" t="s">
        <v>61</v>
      </c>
      <c r="W30" s="146"/>
    </row>
    <row r="31" spans="1:23" x14ac:dyDescent="0.15">
      <c r="B31" s="61" t="s">
        <v>55</v>
      </c>
      <c r="C31" s="24"/>
      <c r="D31" s="24">
        <v>100</v>
      </c>
      <c r="E31" s="24"/>
      <c r="F31" s="24"/>
      <c r="G31" s="24"/>
      <c r="H31" s="17" t="s">
        <v>50</v>
      </c>
      <c r="I31" s="17" t="s">
        <v>35</v>
      </c>
      <c r="J31" s="40" t="s">
        <v>37</v>
      </c>
      <c r="O31" s="61" t="s">
        <v>31</v>
      </c>
      <c r="R31" s="41" t="s">
        <v>33</v>
      </c>
      <c r="U31" s="41" t="s">
        <v>61</v>
      </c>
      <c r="V31" s="40" t="s">
        <v>67</v>
      </c>
    </row>
    <row r="32" spans="1:23" x14ac:dyDescent="0.15">
      <c r="B32" s="61" t="s">
        <v>62</v>
      </c>
      <c r="C32" s="24"/>
      <c r="D32" s="24"/>
      <c r="E32" s="61">
        <v>100</v>
      </c>
      <c r="F32" s="24"/>
      <c r="G32" s="24"/>
      <c r="H32" s="17" t="s">
        <v>123</v>
      </c>
      <c r="I32" s="17" t="s">
        <v>38</v>
      </c>
      <c r="J32" s="40" t="s">
        <v>35</v>
      </c>
    </row>
    <row r="33" spans="1:15" x14ac:dyDescent="0.15">
      <c r="B33" s="61" t="s">
        <v>68</v>
      </c>
      <c r="C33" s="24"/>
      <c r="D33" s="24"/>
      <c r="E33" s="24">
        <v>100</v>
      </c>
      <c r="F33" s="24"/>
      <c r="G33" s="24"/>
      <c r="H33" s="17" t="s">
        <v>50</v>
      </c>
      <c r="I33" s="17" t="s">
        <v>38</v>
      </c>
      <c r="J33" s="40" t="s">
        <v>38</v>
      </c>
    </row>
    <row r="34" spans="1:15" x14ac:dyDescent="0.15">
      <c r="B34" s="61" t="s">
        <v>74</v>
      </c>
      <c r="C34" s="24"/>
      <c r="D34" s="24"/>
      <c r="E34" s="24"/>
      <c r="F34" s="61">
        <v>100</v>
      </c>
      <c r="G34" s="24"/>
      <c r="H34" s="17" t="s">
        <v>123</v>
      </c>
      <c r="I34" s="17" t="s">
        <v>39</v>
      </c>
      <c r="J34" s="40" t="s">
        <v>39</v>
      </c>
    </row>
    <row r="35" spans="1:15" x14ac:dyDescent="0.15">
      <c r="B35" s="61" t="s">
        <v>78</v>
      </c>
      <c r="C35" s="24"/>
      <c r="D35" s="24"/>
      <c r="E35" s="24"/>
      <c r="F35" s="24">
        <v>100</v>
      </c>
      <c r="G35" s="24"/>
      <c r="H35" s="17" t="s">
        <v>50</v>
      </c>
      <c r="I35" s="17" t="s">
        <v>39</v>
      </c>
      <c r="J35" s="40" t="s">
        <v>40</v>
      </c>
    </row>
    <row r="36" spans="1:15" x14ac:dyDescent="0.15">
      <c r="B36" s="61" t="s">
        <v>85</v>
      </c>
      <c r="C36" s="24"/>
      <c r="D36" s="24"/>
      <c r="E36" s="24"/>
      <c r="F36" s="24"/>
      <c r="G36" s="61">
        <v>100</v>
      </c>
      <c r="H36" s="17" t="s">
        <v>123</v>
      </c>
      <c r="I36" s="17" t="s">
        <v>40</v>
      </c>
      <c r="J36" s="40" t="s">
        <v>37</v>
      </c>
    </row>
    <row r="37" spans="1:15" ht="13" thickBot="1" x14ac:dyDescent="0.2">
      <c r="B37" s="61" t="s">
        <v>92</v>
      </c>
      <c r="C37" s="24"/>
      <c r="D37" s="24"/>
      <c r="E37" s="24"/>
      <c r="F37" s="24"/>
      <c r="G37" s="24">
        <v>100</v>
      </c>
      <c r="H37" s="17" t="s">
        <v>50</v>
      </c>
      <c r="I37" s="17" t="s">
        <v>40</v>
      </c>
      <c r="J37" s="40" t="s">
        <v>35</v>
      </c>
    </row>
    <row r="38" spans="1:15" x14ac:dyDescent="0.15">
      <c r="A38" s="23" t="s">
        <v>25</v>
      </c>
      <c r="B38" s="61" t="s">
        <v>31</v>
      </c>
      <c r="C38" s="24"/>
      <c r="D38" s="24"/>
      <c r="E38" s="24"/>
      <c r="F38" s="24"/>
      <c r="G38" s="24">
        <v>100</v>
      </c>
      <c r="H38" s="42" t="s">
        <v>123</v>
      </c>
      <c r="I38" s="134" t="s">
        <v>40</v>
      </c>
      <c r="J38" s="135"/>
      <c r="K38" s="43"/>
      <c r="L38" s="47" t="s">
        <v>124</v>
      </c>
      <c r="M38" s="69" t="s">
        <v>125</v>
      </c>
      <c r="N38" s="70" t="s">
        <v>126</v>
      </c>
      <c r="O38" s="71" t="s">
        <v>127</v>
      </c>
    </row>
    <row r="39" spans="1:15" x14ac:dyDescent="0.15">
      <c r="B39" s="61" t="s">
        <v>44</v>
      </c>
      <c r="C39" s="24"/>
      <c r="D39" s="24"/>
      <c r="E39" s="24">
        <v>60</v>
      </c>
      <c r="F39" s="24">
        <v>20</v>
      </c>
      <c r="G39" s="24">
        <v>20</v>
      </c>
      <c r="H39" s="42" t="s">
        <v>50</v>
      </c>
      <c r="I39" s="44" t="s">
        <v>38</v>
      </c>
      <c r="J39" s="41" t="s">
        <v>40</v>
      </c>
      <c r="K39" s="41" t="s">
        <v>39</v>
      </c>
      <c r="L39" s="48" t="s">
        <v>128</v>
      </c>
      <c r="M39" s="72" t="s">
        <v>125</v>
      </c>
      <c r="N39" s="42" t="s">
        <v>129</v>
      </c>
      <c r="O39" s="73" t="s">
        <v>130</v>
      </c>
    </row>
    <row r="40" spans="1:15" x14ac:dyDescent="0.15">
      <c r="B40" s="61" t="s">
        <v>50</v>
      </c>
      <c r="C40" s="61">
        <v>60</v>
      </c>
      <c r="D40" s="61">
        <v>20</v>
      </c>
      <c r="E40" s="61">
        <v>20</v>
      </c>
      <c r="F40" s="24"/>
      <c r="G40" s="24"/>
      <c r="H40" s="42" t="s">
        <v>123</v>
      </c>
      <c r="I40" s="44" t="s">
        <v>37</v>
      </c>
      <c r="J40" s="41" t="s">
        <v>35</v>
      </c>
      <c r="K40" s="41" t="s">
        <v>38</v>
      </c>
      <c r="L40" s="48" t="s">
        <v>131</v>
      </c>
      <c r="M40" s="72" t="s">
        <v>132</v>
      </c>
      <c r="N40" s="42" t="s">
        <v>133</v>
      </c>
      <c r="O40" s="73" t="s">
        <v>134</v>
      </c>
    </row>
    <row r="41" spans="1:15" x14ac:dyDescent="0.15">
      <c r="B41" s="61" t="s">
        <v>58</v>
      </c>
      <c r="C41" s="24">
        <v>100</v>
      </c>
      <c r="D41" s="24"/>
      <c r="E41" s="24"/>
      <c r="F41" s="24"/>
      <c r="G41" s="24"/>
      <c r="H41" s="42" t="s">
        <v>50</v>
      </c>
      <c r="I41" s="44" t="s">
        <v>37</v>
      </c>
      <c r="J41" s="41"/>
      <c r="K41" s="41"/>
      <c r="L41" s="48" t="s">
        <v>131</v>
      </c>
      <c r="M41" s="72" t="s">
        <v>132</v>
      </c>
      <c r="N41" s="42" t="s">
        <v>135</v>
      </c>
      <c r="O41" s="73" t="s">
        <v>136</v>
      </c>
    </row>
    <row r="42" spans="1:15" x14ac:dyDescent="0.15">
      <c r="B42" s="61" t="s">
        <v>65</v>
      </c>
      <c r="C42" s="24">
        <v>20</v>
      </c>
      <c r="D42" s="24"/>
      <c r="E42" s="61">
        <v>60</v>
      </c>
      <c r="F42" s="24"/>
      <c r="G42" s="24">
        <v>20</v>
      </c>
      <c r="H42" s="42" t="s">
        <v>123</v>
      </c>
      <c r="I42" s="44" t="s">
        <v>38</v>
      </c>
      <c r="J42" s="41" t="s">
        <v>37</v>
      </c>
      <c r="K42" s="41" t="s">
        <v>40</v>
      </c>
      <c r="L42" s="48" t="s">
        <v>137</v>
      </c>
      <c r="M42" s="72" t="s">
        <v>132</v>
      </c>
      <c r="N42" s="42" t="s">
        <v>138</v>
      </c>
      <c r="O42" s="73" t="s">
        <v>139</v>
      </c>
    </row>
    <row r="43" spans="1:15" x14ac:dyDescent="0.15">
      <c r="B43" s="61" t="s">
        <v>71</v>
      </c>
      <c r="C43" s="24"/>
      <c r="D43" s="61">
        <v>60</v>
      </c>
      <c r="E43" s="61">
        <v>20</v>
      </c>
      <c r="F43" s="61">
        <v>20</v>
      </c>
      <c r="G43" s="24"/>
      <c r="H43" s="42" t="s">
        <v>50</v>
      </c>
      <c r="I43" s="44" t="s">
        <v>35</v>
      </c>
      <c r="J43" s="41" t="s">
        <v>39</v>
      </c>
      <c r="K43" s="41" t="s">
        <v>38</v>
      </c>
      <c r="L43" s="48" t="s">
        <v>140</v>
      </c>
      <c r="M43" s="72" t="s">
        <v>141</v>
      </c>
      <c r="N43" s="42" t="s">
        <v>142</v>
      </c>
      <c r="O43" s="73" t="s">
        <v>128</v>
      </c>
    </row>
    <row r="44" spans="1:15" x14ac:dyDescent="0.15">
      <c r="B44" s="61" t="s">
        <v>62</v>
      </c>
      <c r="C44" s="24"/>
      <c r="D44" s="24">
        <v>70</v>
      </c>
      <c r="E44" s="24">
        <v>30</v>
      </c>
      <c r="F44" s="24"/>
      <c r="G44" s="24"/>
      <c r="H44" s="42" t="s">
        <v>123</v>
      </c>
      <c r="I44" s="44" t="s">
        <v>35</v>
      </c>
      <c r="J44" s="41" t="s">
        <v>38</v>
      </c>
      <c r="K44" s="41"/>
      <c r="L44" s="48"/>
      <c r="M44" s="72" t="s">
        <v>141</v>
      </c>
      <c r="N44" s="42" t="s">
        <v>143</v>
      </c>
      <c r="O44" s="73" t="s">
        <v>144</v>
      </c>
    </row>
    <row r="45" spans="1:15" x14ac:dyDescent="0.15">
      <c r="B45" s="61" t="s">
        <v>80</v>
      </c>
      <c r="C45" s="24">
        <v>20</v>
      </c>
      <c r="D45" s="24">
        <v>20</v>
      </c>
      <c r="E45" s="24">
        <v>60</v>
      </c>
      <c r="F45" s="24"/>
      <c r="G45" s="24"/>
      <c r="H45" s="42" t="s">
        <v>50</v>
      </c>
      <c r="I45" s="44" t="s">
        <v>38</v>
      </c>
      <c r="J45" s="41" t="s">
        <v>35</v>
      </c>
      <c r="K45" s="41" t="s">
        <v>37</v>
      </c>
      <c r="L45" s="48" t="s">
        <v>127</v>
      </c>
      <c r="M45" s="72" t="s">
        <v>141</v>
      </c>
      <c r="N45" s="42" t="s">
        <v>145</v>
      </c>
      <c r="O45" s="73" t="s">
        <v>128</v>
      </c>
    </row>
    <row r="46" spans="1:15" x14ac:dyDescent="0.15">
      <c r="B46" s="61" t="s">
        <v>88</v>
      </c>
      <c r="C46" s="24"/>
      <c r="D46" s="24"/>
      <c r="E46" s="61">
        <v>20</v>
      </c>
      <c r="F46" s="61">
        <v>60</v>
      </c>
      <c r="G46" s="61">
        <v>20</v>
      </c>
      <c r="H46" s="42" t="s">
        <v>123</v>
      </c>
      <c r="I46" s="44" t="s">
        <v>39</v>
      </c>
      <c r="J46" s="41" t="s">
        <v>40</v>
      </c>
      <c r="K46" s="41" t="s">
        <v>38</v>
      </c>
      <c r="L46" s="48" t="s">
        <v>146</v>
      </c>
      <c r="M46" s="72" t="s">
        <v>147</v>
      </c>
      <c r="N46" s="42" t="s">
        <v>148</v>
      </c>
      <c r="O46" s="73" t="s">
        <v>146</v>
      </c>
    </row>
    <row r="47" spans="1:15" x14ac:dyDescent="0.15">
      <c r="B47" s="61" t="s">
        <v>95</v>
      </c>
      <c r="C47" s="24"/>
      <c r="D47" s="24"/>
      <c r="E47" s="24"/>
      <c r="F47" s="24">
        <v>100</v>
      </c>
      <c r="G47" s="24"/>
      <c r="H47" s="42" t="s">
        <v>50</v>
      </c>
      <c r="I47" s="44" t="s">
        <v>39</v>
      </c>
      <c r="J47" s="41"/>
      <c r="K47" s="41"/>
      <c r="L47" s="48" t="s">
        <v>137</v>
      </c>
      <c r="M47" s="72" t="s">
        <v>147</v>
      </c>
      <c r="N47" s="42" t="s">
        <v>149</v>
      </c>
      <c r="O47" s="73" t="s">
        <v>128</v>
      </c>
    </row>
    <row r="48" spans="1:15" x14ac:dyDescent="0.15">
      <c r="B48" s="61" t="s">
        <v>98</v>
      </c>
      <c r="C48" s="24"/>
      <c r="D48" s="24">
        <v>20</v>
      </c>
      <c r="E48" s="61">
        <v>60</v>
      </c>
      <c r="F48" s="24">
        <v>20</v>
      </c>
      <c r="G48" s="24"/>
      <c r="H48" s="42" t="s">
        <v>123</v>
      </c>
      <c r="I48" s="44" t="s">
        <v>38</v>
      </c>
      <c r="J48" s="41" t="s">
        <v>39</v>
      </c>
      <c r="K48" s="41" t="s">
        <v>35</v>
      </c>
      <c r="L48" s="48" t="s">
        <v>150</v>
      </c>
      <c r="M48" s="72" t="s">
        <v>147</v>
      </c>
      <c r="N48" s="42" t="s">
        <v>151</v>
      </c>
      <c r="O48" s="73" t="s">
        <v>139</v>
      </c>
    </row>
    <row r="49" spans="1:17" ht="13" thickBot="1" x14ac:dyDescent="0.2">
      <c r="B49" s="61" t="s">
        <v>104</v>
      </c>
      <c r="C49" s="61">
        <v>30</v>
      </c>
      <c r="D49" s="24"/>
      <c r="E49" s="24"/>
      <c r="F49" s="24"/>
      <c r="G49" s="61">
        <v>70</v>
      </c>
      <c r="H49" s="42" t="s">
        <v>50</v>
      </c>
      <c r="I49" s="45" t="s">
        <v>40</v>
      </c>
      <c r="J49" s="46" t="s">
        <v>37</v>
      </c>
      <c r="K49" s="46"/>
      <c r="L49" s="49" t="s">
        <v>127</v>
      </c>
      <c r="M49" s="74" t="s">
        <v>125</v>
      </c>
      <c r="N49" s="75" t="s">
        <v>152</v>
      </c>
      <c r="O49" s="76" t="s">
        <v>140</v>
      </c>
    </row>
    <row r="50" spans="1:17" x14ac:dyDescent="0.15">
      <c r="B50" s="126"/>
      <c r="C50" s="126"/>
      <c r="D50" s="127"/>
      <c r="E50" s="127"/>
      <c r="F50" s="127"/>
      <c r="G50" s="126"/>
      <c r="H50" s="1"/>
      <c r="I50" s="1"/>
      <c r="J50" s="1"/>
      <c r="K50" s="1"/>
      <c r="M50" s="1"/>
      <c r="N50" s="1"/>
      <c r="O50" s="27"/>
      <c r="Q50" s="35"/>
    </row>
    <row r="51" spans="1:17" x14ac:dyDescent="0.15">
      <c r="B51" s="126"/>
      <c r="C51" s="126"/>
      <c r="D51" s="127"/>
      <c r="E51" s="127"/>
      <c r="F51" s="127"/>
      <c r="G51" s="126"/>
      <c r="H51" s="1"/>
      <c r="I51" s="1"/>
      <c r="J51" s="1"/>
      <c r="K51" s="1"/>
      <c r="M51" s="1"/>
      <c r="N51" s="1"/>
      <c r="O51" s="27"/>
      <c r="Q51" s="35"/>
    </row>
    <row r="52" spans="1:17" x14ac:dyDescent="0.15">
      <c r="L52" s="23"/>
    </row>
    <row r="53" spans="1:17" x14ac:dyDescent="0.15">
      <c r="B53" s="110" t="s">
        <v>28</v>
      </c>
      <c r="C53" s="110" t="s">
        <v>41</v>
      </c>
      <c r="D53" s="112" t="s">
        <v>47</v>
      </c>
      <c r="E53" s="112" t="s">
        <v>55</v>
      </c>
      <c r="F53" s="108" t="s">
        <v>62</v>
      </c>
      <c r="G53" s="108" t="s">
        <v>68</v>
      </c>
      <c r="H53" s="114" t="s">
        <v>74</v>
      </c>
      <c r="I53" s="114" t="s">
        <v>78</v>
      </c>
      <c r="J53" s="115" t="s">
        <v>85</v>
      </c>
      <c r="K53" s="115" t="s">
        <v>92</v>
      </c>
      <c r="L53" s="174"/>
    </row>
    <row r="54" spans="1:17" x14ac:dyDescent="0.15">
      <c r="B54" s="111">
        <f>IF(G21="Jia",100,0)</f>
        <v>0</v>
      </c>
      <c r="C54" s="111">
        <f>IF(G21="Yi",100,0)</f>
        <v>100</v>
      </c>
      <c r="D54" s="113">
        <f>IF(G21="Bing",100,0)</f>
        <v>0</v>
      </c>
      <c r="E54" s="113">
        <f>IF(G21="Ding",100,0)</f>
        <v>0</v>
      </c>
      <c r="F54" s="109">
        <f>IF(G21="Wu",100,0)</f>
        <v>0</v>
      </c>
      <c r="G54" s="109">
        <f>IF(G21="Ji",100,0)</f>
        <v>0</v>
      </c>
      <c r="H54" s="41">
        <f>IF(G21="Geng",100,0)</f>
        <v>0</v>
      </c>
      <c r="I54" s="41">
        <f>IF(G21="Xin",100,0)</f>
        <v>0</v>
      </c>
      <c r="J54" s="116">
        <f>IF(G21="Ren",100,0)</f>
        <v>0</v>
      </c>
      <c r="K54" s="116">
        <f>IF(G21="Gui",100,0)</f>
        <v>0</v>
      </c>
      <c r="L54" s="174" t="s">
        <v>153</v>
      </c>
    </row>
    <row r="55" spans="1:17" x14ac:dyDescent="0.15">
      <c r="B55" s="111">
        <f>IF(F21="Jia",100,0)</f>
        <v>0</v>
      </c>
      <c r="C55" s="111">
        <f>IF(F21="Yi",100,0)</f>
        <v>0</v>
      </c>
      <c r="D55" s="113">
        <f>IF(F21="Bing",100,0)</f>
        <v>0</v>
      </c>
      <c r="E55" s="113">
        <f>IF(F21="Ding",100,0)</f>
        <v>0</v>
      </c>
      <c r="F55" s="109">
        <f>IF(F21="Wu",100,0)</f>
        <v>0</v>
      </c>
      <c r="G55" s="109">
        <f>IF(F21="Ji",100,0)</f>
        <v>0</v>
      </c>
      <c r="H55" s="41">
        <f>IF(F21="Geng",100,0)</f>
        <v>0</v>
      </c>
      <c r="I55" s="41">
        <f>IF(F21="Xin",100,0)</f>
        <v>0</v>
      </c>
      <c r="J55" s="116">
        <f>IF(F21="Ren",100,0)</f>
        <v>0</v>
      </c>
      <c r="K55" s="116">
        <f>IF(F21="Gui",100,0)</f>
        <v>100</v>
      </c>
      <c r="L55" s="174" t="s">
        <v>154</v>
      </c>
    </row>
    <row r="56" spans="1:17" ht="13" thickBot="1" x14ac:dyDescent="0.2">
      <c r="B56" s="120">
        <f>IF(D21="Jia",100,0)</f>
        <v>0</v>
      </c>
      <c r="C56" s="120">
        <f>IF(D21="Yi",100,0)</f>
        <v>0</v>
      </c>
      <c r="D56" s="121">
        <f>IF(D21="Bing",100,0)</f>
        <v>0</v>
      </c>
      <c r="E56" s="121">
        <f>IF(D21="Ding",100,0)</f>
        <v>0</v>
      </c>
      <c r="F56" s="122">
        <f>IF(D21="Wu",100,0)</f>
        <v>0</v>
      </c>
      <c r="G56" s="122">
        <f>IF(D21="Ji",100,0)</f>
        <v>0</v>
      </c>
      <c r="H56" s="46">
        <f>IF(D21="Geng",100,0)</f>
        <v>0</v>
      </c>
      <c r="I56" s="46">
        <f>IF(D21="Xin",100,0)</f>
        <v>0</v>
      </c>
      <c r="J56" s="123">
        <f>IF(D21="Ren",100,0)</f>
        <v>100</v>
      </c>
      <c r="K56" s="123">
        <f>IF(D21="Gui",100,0)</f>
        <v>0</v>
      </c>
      <c r="L56" s="174" t="s">
        <v>155</v>
      </c>
    </row>
    <row r="57" spans="1:17" x14ac:dyDescent="0.15">
      <c r="B57" s="175">
        <f>IF(G22="Yin",60,IF(G22="Hai",30,0))</f>
        <v>0</v>
      </c>
      <c r="C57" s="175">
        <f>IF(G22="Mao",100,IF(G22="Chen",20,IF(G22="Wei",20,0)))</f>
        <v>0</v>
      </c>
      <c r="D57" s="176">
        <f>IF(G22="Si",60,IF(G22="Yin",20,0))</f>
        <v>60</v>
      </c>
      <c r="E57" s="176">
        <f>IF(G22="Wu",70,IF(G22="Wei",20,IF(G22="Xu",20,0)))</f>
        <v>0</v>
      </c>
      <c r="F57" s="177">
        <f>IF(G22="Chen",60,IF(G22="Shen",20,IF(G22="Yin",20,IF(G22="Si",20,IF(G22="Xu",60,0)))))</f>
        <v>20</v>
      </c>
      <c r="G57" s="177">
        <f>IF(G22="Chou",60,IF(G22="Wei",60,IF(G22="Wu",30,0)))</f>
        <v>0</v>
      </c>
      <c r="H57" s="178">
        <f>IF(G22="Shen",60,IF(G22="Si",20,0))</f>
        <v>20</v>
      </c>
      <c r="I57" s="178">
        <f>IF(G22="You",100,IF(G22="Xu",20,IF(G22="Chou",20,0)))</f>
        <v>0</v>
      </c>
      <c r="J57" s="146">
        <f>IF(G22="Hai",70,IF(G22="Shen",20,0))</f>
        <v>0</v>
      </c>
      <c r="K57" s="146">
        <f>IF(G22="Zi",100,IF(G22="Chou",20,IF(G22="Chen",20,0)))</f>
        <v>0</v>
      </c>
      <c r="L57" s="174" t="s">
        <v>156</v>
      </c>
    </row>
    <row r="58" spans="1:17" x14ac:dyDescent="0.15">
      <c r="B58" s="111">
        <f>IF(F22="Yin",60,IF(F22="Hai",30,0))</f>
        <v>0</v>
      </c>
      <c r="C58" s="111">
        <f>IF(F22="Mao",100,IF(F22="Chen",20,IF(F22="Wei",20,0)))</f>
        <v>20</v>
      </c>
      <c r="D58" s="113">
        <f>IF(F22="Si",60,IF(F22="Yin",20,0))</f>
        <v>0</v>
      </c>
      <c r="E58" s="113">
        <f>IF(F22="Wu",70,IF(F22="Wei",20,IF(F22="Xu",20,0)))</f>
        <v>20</v>
      </c>
      <c r="F58" s="109">
        <f>IF(F22="Chen",60,IF(F22="Shen",20,IF(F22="Yin",20,IF(F22="Si",20,IF(F22="Xu",60,0)))))</f>
        <v>0</v>
      </c>
      <c r="G58" s="109">
        <f>IF(F22="Chou",60,IF(F22="Wei",60,IF(F22="Wu",30,0)))</f>
        <v>60</v>
      </c>
      <c r="H58" s="41">
        <f>IF(F22="Shen",60,IF(F22="Si",20,0))</f>
        <v>0</v>
      </c>
      <c r="I58" s="41">
        <f>IF(F22="You",100,IF(F22="Xu",20,IF(F22="Chou",20,0)))</f>
        <v>0</v>
      </c>
      <c r="J58" s="116">
        <f>IF(F22="Hai",70,IF(F22="Shen",20,0))</f>
        <v>0</v>
      </c>
      <c r="K58" s="116">
        <f>IF(F22="Zi",100,IF(F22="Chou",20,IF(F22="Chen",20,0)))</f>
        <v>0</v>
      </c>
      <c r="L58" s="23" t="s">
        <v>157</v>
      </c>
    </row>
    <row r="59" spans="1:17" x14ac:dyDescent="0.15">
      <c r="B59" s="111">
        <f>IF(E22="Yin",60,IF(E22="Hai",30,0))</f>
        <v>0</v>
      </c>
      <c r="C59" s="111">
        <f>IF(E22="Mao",100,IF(E22="Chen",20,IF(E22="Wei",20,0)))</f>
        <v>100</v>
      </c>
      <c r="D59" s="113">
        <f>IF(E22="Si",60,IF(E22="Yin",20,0))</f>
        <v>0</v>
      </c>
      <c r="E59" s="113">
        <f>IF(E22="Wu",70,IF(E22="Wei",20,IF(E22="Xu",20,0)))</f>
        <v>0</v>
      </c>
      <c r="F59" s="109">
        <f>IF(E22="Chen",60,IF(E22="Shen",20,IF(E22="Yin",20,IF(E22="Si",20,IF(E22="Xu",60,0)))))</f>
        <v>0</v>
      </c>
      <c r="G59" s="109">
        <f>IF(E22="Chou",60,IF(E22="Wei",60,IF(E22="Wu",30,0)))</f>
        <v>0</v>
      </c>
      <c r="H59" s="41">
        <f>IF(E22="Shen",60,IF(E22="Si",20,0))</f>
        <v>0</v>
      </c>
      <c r="I59" s="41">
        <f>IF(E22="You",100,IF(E22="Xu",20,IF(E22="Chou",20,0)))</f>
        <v>0</v>
      </c>
      <c r="J59" s="116">
        <f>IF(E22="Hai",70,IF(E22="Shen",20,0))</f>
        <v>0</v>
      </c>
      <c r="K59" s="116">
        <f>IF(E22="Zi",100,IF(E22="Chou",20,IF(E22="Chen",20,0)))</f>
        <v>0</v>
      </c>
      <c r="L59" s="174" t="s">
        <v>158</v>
      </c>
    </row>
    <row r="60" spans="1:17" ht="13" thickBot="1" x14ac:dyDescent="0.2">
      <c r="A60" s="179"/>
      <c r="B60" s="120">
        <f>IF(D22="Yin",60,IF(D22="Hai",30,0))</f>
        <v>0</v>
      </c>
      <c r="C60" s="120">
        <f>IF(D22="Mao",100,IF(D22="Chen",20,IF(D22="Wei",20,0)))</f>
        <v>0</v>
      </c>
      <c r="D60" s="121">
        <f>IF(D22="Si",60,IF(D22="Yin",20,0))</f>
        <v>0</v>
      </c>
      <c r="E60" s="121">
        <f>IF(D22="Wu",70,IF(D22="Wei",20,IF(D22="Xu",20,0)))</f>
        <v>0</v>
      </c>
      <c r="F60" s="122">
        <f>IF(D22="Chen",60,IF(D22="Shen",20,IF(D22="Yin",20,IF(D22="Si",20,IF(D22="Xu",60,0)))))</f>
        <v>0</v>
      </c>
      <c r="G60" s="122">
        <f>IF(D22="Chou",60,IF(D22="Wei",60,IF(D22="Wu",30,0)))</f>
        <v>0</v>
      </c>
      <c r="H60" s="46">
        <f>IF(D22="Shen",60,IF(D22="Si",20,0))</f>
        <v>0</v>
      </c>
      <c r="I60" s="46">
        <f>IF(D22="You",100,IF(D22="Xu",20,IF(D22="Chou",20,0)))</f>
        <v>0</v>
      </c>
      <c r="J60" s="123">
        <f>IF(D22="Hai",70,IF(D22="Shen",20,0))</f>
        <v>0</v>
      </c>
      <c r="K60" s="123">
        <f>IF(D22="Zi",100,IF(D22="Chou",20,IF(D22="Chen",20,0)))</f>
        <v>100</v>
      </c>
      <c r="L60" s="179" t="s">
        <v>159</v>
      </c>
    </row>
    <row r="61" spans="1:17" x14ac:dyDescent="0.15">
      <c r="B61" s="23">
        <f t="shared" ref="B61:K61" si="0">COUNTIF(B54:B56,"&lt;&gt;0")</f>
        <v>0</v>
      </c>
      <c r="C61" s="23">
        <f t="shared" si="0"/>
        <v>1</v>
      </c>
      <c r="D61" s="23">
        <f t="shared" si="0"/>
        <v>0</v>
      </c>
      <c r="E61" s="23">
        <f t="shared" si="0"/>
        <v>0</v>
      </c>
      <c r="F61" s="23">
        <f t="shared" si="0"/>
        <v>0</v>
      </c>
      <c r="G61" s="23">
        <f t="shared" si="0"/>
        <v>0</v>
      </c>
      <c r="H61" s="23">
        <f t="shared" si="0"/>
        <v>0</v>
      </c>
      <c r="I61" s="23">
        <f t="shared" si="0"/>
        <v>0</v>
      </c>
      <c r="J61" s="23">
        <f t="shared" si="0"/>
        <v>1</v>
      </c>
      <c r="K61" s="23">
        <f t="shared" si="0"/>
        <v>1</v>
      </c>
      <c r="L61" s="174" t="s">
        <v>160</v>
      </c>
    </row>
    <row r="62" spans="1:17" x14ac:dyDescent="0.15">
      <c r="B62" s="23">
        <f>COUNTIF(B57:B60,"&lt;&gt;0")</f>
        <v>0</v>
      </c>
      <c r="C62" s="23">
        <f t="shared" ref="C62:K62" si="1">COUNTIF(C57:C60,"&lt;&gt;0")</f>
        <v>2</v>
      </c>
      <c r="D62" s="23">
        <f t="shared" si="1"/>
        <v>1</v>
      </c>
      <c r="E62" s="23">
        <f t="shared" si="1"/>
        <v>1</v>
      </c>
      <c r="F62" s="23">
        <f t="shared" si="1"/>
        <v>1</v>
      </c>
      <c r="G62" s="23">
        <f t="shared" si="1"/>
        <v>1</v>
      </c>
      <c r="H62" s="23">
        <f t="shared" si="1"/>
        <v>1</v>
      </c>
      <c r="I62" s="23">
        <f t="shared" si="1"/>
        <v>0</v>
      </c>
      <c r="J62" s="23">
        <f t="shared" si="1"/>
        <v>0</v>
      </c>
      <c r="K62" s="23">
        <f t="shared" si="1"/>
        <v>1</v>
      </c>
      <c r="L62" s="174" t="s">
        <v>161</v>
      </c>
    </row>
    <row r="63" spans="1:17" ht="15" x14ac:dyDescent="0.2">
      <c r="B63" s="128">
        <f t="shared" ref="B63:K63" si="2">SUM(B54:B60)</f>
        <v>0</v>
      </c>
      <c r="C63" s="128">
        <f t="shared" si="2"/>
        <v>220</v>
      </c>
      <c r="D63" s="129">
        <f t="shared" si="2"/>
        <v>60</v>
      </c>
      <c r="E63" s="129">
        <f t="shared" si="2"/>
        <v>20</v>
      </c>
      <c r="F63" s="130">
        <f t="shared" si="2"/>
        <v>20</v>
      </c>
      <c r="G63" s="130">
        <f t="shared" si="2"/>
        <v>60</v>
      </c>
      <c r="H63" s="131">
        <f t="shared" si="2"/>
        <v>20</v>
      </c>
      <c r="I63" s="131">
        <f t="shared" si="2"/>
        <v>0</v>
      </c>
      <c r="J63" s="132">
        <f t="shared" si="2"/>
        <v>100</v>
      </c>
      <c r="K63" s="132">
        <f t="shared" si="2"/>
        <v>200</v>
      </c>
    </row>
    <row r="64" spans="1:17" ht="15" x14ac:dyDescent="0.2">
      <c r="B64" s="117"/>
      <c r="C64" s="118">
        <f>SUM(B63:C63)</f>
        <v>220</v>
      </c>
      <c r="D64" s="119"/>
      <c r="E64" s="118">
        <f>SUM(D63:E63)</f>
        <v>80</v>
      </c>
      <c r="F64" s="119"/>
      <c r="G64" s="118">
        <f>SUM(F63:G63)</f>
        <v>80</v>
      </c>
      <c r="H64" s="119"/>
      <c r="I64" s="118">
        <f>SUM(H63:I63)</f>
        <v>20</v>
      </c>
      <c r="J64" s="119"/>
      <c r="K64" s="118">
        <f>SUM(J63:K63)</f>
        <v>300</v>
      </c>
    </row>
    <row r="65" spans="1:20" x14ac:dyDescent="0.15">
      <c r="B65" s="23" t="str">
        <f>IF(B61=1,C5,IF(B61&gt;=1,B61&amp;C5," "))&amp;IF(B62=1,"("&amp;C5&amp;")",IF(B62&gt;=1,"("&amp;B62&amp;C5&amp;")"," "))</f>
        <v xml:space="preserve">  </v>
      </c>
      <c r="C65" s="23" t="str">
        <f>IF(C61=1,C6,IF(C61&gt;=1,C61&amp;C6," "))&amp;IF(C62=1,"("&amp;C6&amp;")",IF(C62&gt;=1,"("&amp;C62&amp;C6&amp;")"," "))</f>
        <v>乙(2乙)</v>
      </c>
      <c r="D65" s="23" t="str">
        <f>IF(D61=1,C7,IF(D61&gt;=1,D61&amp;C7," "))&amp;IF(D62=1,"("&amp;C7&amp;")",IF(D62&gt;=1,"("&amp;D62&amp;C7&amp;")"," "))</f>
        <v xml:space="preserve"> (丙)</v>
      </c>
      <c r="E65" s="23" t="str">
        <f>IF(E61=1,C8,IF(E61&gt;=1,E61&amp;C8," "))&amp;IF(E62=1,"("&amp;C8&amp;")",IF(E62&gt;=1,"("&amp;E62&amp;C8&amp;")"," "))</f>
        <v xml:space="preserve"> (丁)</v>
      </c>
      <c r="F65" s="23" t="str">
        <f>IF(F61=1,C9,IF(F61&gt;=1,F61&amp;C9," "))&amp;IF(F62=1,"("&amp;C9&amp;")",IF(F62&gt;=1,"("&amp;F62&amp;C9&amp;")"," "))</f>
        <v xml:space="preserve"> (戊)</v>
      </c>
      <c r="G65" s="23" t="str">
        <f>IF(G61=1,C10,IF(G61&gt;=1,G61&amp;C10," "))&amp;IF(G62=1,"("&amp;C10&amp;")",IF(G62&gt;=1,"("&amp;G62&amp;C10&amp;")"," "))</f>
        <v xml:space="preserve"> (已)</v>
      </c>
      <c r="H65" s="23" t="str">
        <f>IF(H61=1,C11,IF(H61&gt;=1,H61&amp;C11," "))&amp;IF(H62=1,"("&amp;C11&amp;")",IF(H62&gt;=1,"("&amp;H62&amp;C11&amp;")"," "))</f>
        <v xml:space="preserve"> (庚)</v>
      </c>
      <c r="I65" s="23" t="str">
        <f>IF(I61=1,C12,IF(I61&gt;=1,I61&amp;C12," "))&amp;IF(I62=1,"("&amp;C12&amp;")",IF(I62&gt;=1,"("&amp;I62&amp;C12&amp;")"," "))</f>
        <v xml:space="preserve">  </v>
      </c>
      <c r="J65" s="23" t="str">
        <f>IF(J61=1,C13,IF(J61&gt;=1,J61&amp;C13," "))&amp;IF(J62=1,"("&amp;C13&amp;")",IF(J62&gt;=1,"("&amp;J62&amp;C13&amp;")"," "))</f>
        <v xml:space="preserve">壬 </v>
      </c>
      <c r="K65" s="23" t="str">
        <f>IF(K61=1,C14,IF(K61&gt;=1,K61&amp;C14," "))&amp;IF(K62=1,"("&amp;C14&amp;")",IF(K62&gt;=1,"("&amp;K62&amp;C14&amp;")"," "))</f>
        <v>癸(癸)</v>
      </c>
      <c r="L65" s="23"/>
    </row>
    <row r="66" spans="1:20" x14ac:dyDescent="0.15">
      <c r="L66" s="23"/>
    </row>
    <row r="67" spans="1:20" ht="15" x14ac:dyDescent="0.2">
      <c r="A67" s="26" t="s">
        <v>162</v>
      </c>
      <c r="K67" s="26" t="str">
        <f>IF(COUNTIF(B64:K64,0),"Unbalanced","Balanced")</f>
        <v>Balanced</v>
      </c>
      <c r="L67" s="23"/>
    </row>
    <row r="68" spans="1:20" ht="15" x14ac:dyDescent="0.2">
      <c r="A68" s="26"/>
    </row>
    <row r="69" spans="1:20" x14ac:dyDescent="0.15">
      <c r="B69" s="17"/>
      <c r="C69" s="18" t="s">
        <v>37</v>
      </c>
      <c r="D69" s="18" t="s">
        <v>35</v>
      </c>
      <c r="E69" s="18" t="s">
        <v>38</v>
      </c>
      <c r="F69" s="18" t="s">
        <v>39</v>
      </c>
      <c r="G69" s="18" t="s">
        <v>40</v>
      </c>
      <c r="J69" s="25" t="s">
        <v>163</v>
      </c>
      <c r="L69" s="23"/>
    </row>
    <row r="70" spans="1:20" x14ac:dyDescent="0.15">
      <c r="B70" s="61" t="s">
        <v>31</v>
      </c>
      <c r="C70" s="24">
        <v>0.5</v>
      </c>
      <c r="D70" s="24">
        <v>0.5</v>
      </c>
      <c r="E70" s="24">
        <v>0.5</v>
      </c>
      <c r="F70" s="24">
        <v>0.5</v>
      </c>
      <c r="G70" s="24">
        <v>1</v>
      </c>
      <c r="I70" s="125"/>
      <c r="J70" s="40"/>
      <c r="K70" s="40" t="s">
        <v>28</v>
      </c>
      <c r="L70" s="40" t="s">
        <v>41</v>
      </c>
      <c r="M70" s="40" t="s">
        <v>47</v>
      </c>
      <c r="N70" s="40" t="s">
        <v>55</v>
      </c>
      <c r="O70" s="40" t="s">
        <v>62</v>
      </c>
      <c r="P70" s="40" t="s">
        <v>68</v>
      </c>
      <c r="Q70" s="40" t="s">
        <v>74</v>
      </c>
      <c r="R70" s="40" t="s">
        <v>78</v>
      </c>
      <c r="S70" s="40" t="s">
        <v>85</v>
      </c>
      <c r="T70" s="40" t="s">
        <v>92</v>
      </c>
    </row>
    <row r="71" spans="1:20" x14ac:dyDescent="0.15">
      <c r="B71" s="61" t="s">
        <v>44</v>
      </c>
      <c r="C71" s="24">
        <v>0.5</v>
      </c>
      <c r="D71" s="24">
        <v>0.5</v>
      </c>
      <c r="E71" s="24">
        <v>1</v>
      </c>
      <c r="F71" s="24">
        <v>0.8</v>
      </c>
      <c r="G71" s="24">
        <v>0.8</v>
      </c>
      <c r="I71" s="125"/>
      <c r="J71" s="40" t="s">
        <v>28</v>
      </c>
      <c r="K71" s="124" t="s">
        <v>164</v>
      </c>
      <c r="L71" s="124" t="s">
        <v>165</v>
      </c>
      <c r="M71" s="124" t="s">
        <v>166</v>
      </c>
      <c r="N71" s="124" t="s">
        <v>167</v>
      </c>
      <c r="O71" s="124" t="s">
        <v>168</v>
      </c>
      <c r="P71" s="124" t="s">
        <v>169</v>
      </c>
      <c r="Q71" s="124" t="s">
        <v>170</v>
      </c>
      <c r="R71" s="124" t="s">
        <v>171</v>
      </c>
      <c r="S71" s="124" t="s">
        <v>172</v>
      </c>
      <c r="T71" s="124" t="s">
        <v>173</v>
      </c>
    </row>
    <row r="72" spans="1:20" x14ac:dyDescent="0.15">
      <c r="B72" s="61" t="s">
        <v>50</v>
      </c>
      <c r="C72" s="24">
        <v>1</v>
      </c>
      <c r="D72" s="24">
        <v>0.8</v>
      </c>
      <c r="E72" s="24">
        <v>0.5</v>
      </c>
      <c r="F72" s="24">
        <v>0.5</v>
      </c>
      <c r="G72" s="24">
        <v>0.5</v>
      </c>
      <c r="I72" s="125" t="s">
        <v>146</v>
      </c>
      <c r="J72" s="40" t="s">
        <v>41</v>
      </c>
      <c r="K72" s="124" t="s">
        <v>165</v>
      </c>
      <c r="L72" s="124" t="s">
        <v>164</v>
      </c>
      <c r="M72" s="124" t="s">
        <v>167</v>
      </c>
      <c r="N72" s="124" t="s">
        <v>166</v>
      </c>
      <c r="O72" s="124" t="s">
        <v>169</v>
      </c>
      <c r="P72" s="124" t="s">
        <v>168</v>
      </c>
      <c r="Q72" s="124" t="s">
        <v>171</v>
      </c>
      <c r="R72" s="124" t="s">
        <v>170</v>
      </c>
      <c r="S72" s="124" t="s">
        <v>173</v>
      </c>
      <c r="T72" s="124" t="s">
        <v>172</v>
      </c>
    </row>
    <row r="73" spans="1:20" x14ac:dyDescent="0.15">
      <c r="B73" s="61" t="s">
        <v>58</v>
      </c>
      <c r="C73" s="24">
        <v>1</v>
      </c>
      <c r="D73" s="24">
        <v>0.5</v>
      </c>
      <c r="E73" s="24">
        <v>0.5</v>
      </c>
      <c r="F73" s="24">
        <v>0.5</v>
      </c>
      <c r="G73" s="24">
        <v>0.5</v>
      </c>
      <c r="I73" s="125" t="s">
        <v>137</v>
      </c>
      <c r="J73" s="40" t="s">
        <v>47</v>
      </c>
      <c r="K73" s="124" t="s">
        <v>172</v>
      </c>
      <c r="L73" s="124" t="s">
        <v>173</v>
      </c>
      <c r="M73" s="124" t="s">
        <v>164</v>
      </c>
      <c r="N73" s="124" t="s">
        <v>165</v>
      </c>
      <c r="O73" s="124" t="s">
        <v>166</v>
      </c>
      <c r="P73" s="124" t="s">
        <v>167</v>
      </c>
      <c r="Q73" s="124" t="s">
        <v>168</v>
      </c>
      <c r="R73" s="124" t="s">
        <v>169</v>
      </c>
      <c r="S73" s="124" t="s">
        <v>170</v>
      </c>
      <c r="T73" s="124" t="s">
        <v>171</v>
      </c>
    </row>
    <row r="74" spans="1:20" x14ac:dyDescent="0.15">
      <c r="B74" s="61" t="s">
        <v>65</v>
      </c>
      <c r="C74" s="24">
        <v>0.8</v>
      </c>
      <c r="D74" s="24">
        <v>0.5</v>
      </c>
      <c r="E74" s="24">
        <v>1</v>
      </c>
      <c r="F74" s="24">
        <v>0.5</v>
      </c>
      <c r="G74" s="24">
        <v>0.8</v>
      </c>
      <c r="I74" s="125" t="s">
        <v>140</v>
      </c>
      <c r="J74" s="40" t="s">
        <v>55</v>
      </c>
      <c r="K74" s="124" t="s">
        <v>173</v>
      </c>
      <c r="L74" s="124" t="s">
        <v>172</v>
      </c>
      <c r="M74" s="124" t="s">
        <v>165</v>
      </c>
      <c r="N74" s="124" t="s">
        <v>164</v>
      </c>
      <c r="O74" s="124" t="s">
        <v>167</v>
      </c>
      <c r="P74" s="124" t="s">
        <v>166</v>
      </c>
      <c r="Q74" s="124" t="s">
        <v>169</v>
      </c>
      <c r="R74" s="124" t="s">
        <v>168</v>
      </c>
      <c r="S74" s="124" t="s">
        <v>171</v>
      </c>
      <c r="T74" s="124" t="s">
        <v>170</v>
      </c>
    </row>
    <row r="75" spans="1:20" x14ac:dyDescent="0.15">
      <c r="B75" s="61" t="s">
        <v>71</v>
      </c>
      <c r="C75" s="24">
        <v>0.5</v>
      </c>
      <c r="D75" s="24">
        <v>1</v>
      </c>
      <c r="E75" s="24">
        <v>0.5</v>
      </c>
      <c r="F75" s="24">
        <v>0.8</v>
      </c>
      <c r="G75" s="24">
        <v>0.5</v>
      </c>
      <c r="I75" s="125"/>
      <c r="J75" s="40" t="s">
        <v>62</v>
      </c>
      <c r="K75" s="124" t="s">
        <v>170</v>
      </c>
      <c r="L75" s="124" t="s">
        <v>171</v>
      </c>
      <c r="M75" s="124" t="s">
        <v>172</v>
      </c>
      <c r="N75" s="124" t="s">
        <v>173</v>
      </c>
      <c r="O75" s="124" t="s">
        <v>164</v>
      </c>
      <c r="P75" s="124" t="s">
        <v>165</v>
      </c>
      <c r="Q75" s="124" t="s">
        <v>166</v>
      </c>
      <c r="R75" s="124" t="s">
        <v>167</v>
      </c>
      <c r="S75" s="124" t="s">
        <v>168</v>
      </c>
      <c r="T75" s="124" t="s">
        <v>169</v>
      </c>
    </row>
    <row r="76" spans="1:20" x14ac:dyDescent="0.15">
      <c r="B76" s="61" t="s">
        <v>62</v>
      </c>
      <c r="C76" s="24">
        <v>0.5</v>
      </c>
      <c r="D76" s="24">
        <v>1</v>
      </c>
      <c r="E76" s="24">
        <v>0.5</v>
      </c>
      <c r="F76" s="24">
        <v>0.5</v>
      </c>
      <c r="G76" s="24">
        <v>0.5</v>
      </c>
      <c r="I76" s="125" t="s">
        <v>174</v>
      </c>
      <c r="J76" s="40" t="s">
        <v>68</v>
      </c>
      <c r="K76" s="124" t="s">
        <v>171</v>
      </c>
      <c r="L76" s="124" t="s">
        <v>170</v>
      </c>
      <c r="M76" s="124" t="s">
        <v>173</v>
      </c>
      <c r="N76" s="124" t="s">
        <v>172</v>
      </c>
      <c r="O76" s="124" t="s">
        <v>165</v>
      </c>
      <c r="P76" s="124" t="s">
        <v>164</v>
      </c>
      <c r="Q76" s="124" t="s">
        <v>167</v>
      </c>
      <c r="R76" s="124" t="s">
        <v>166</v>
      </c>
      <c r="S76" s="124" t="s">
        <v>169</v>
      </c>
      <c r="T76" s="124" t="s">
        <v>168</v>
      </c>
    </row>
    <row r="77" spans="1:20" x14ac:dyDescent="0.15">
      <c r="B77" s="61" t="s">
        <v>80</v>
      </c>
      <c r="C77" s="24">
        <v>0.8</v>
      </c>
      <c r="D77" s="24">
        <v>0.8</v>
      </c>
      <c r="E77" s="24">
        <v>1</v>
      </c>
      <c r="F77" s="24">
        <v>0.5</v>
      </c>
      <c r="G77" s="24">
        <v>0.5</v>
      </c>
      <c r="I77" s="125" t="s">
        <v>139</v>
      </c>
      <c r="J77" s="40" t="s">
        <v>74</v>
      </c>
      <c r="K77" s="124" t="s">
        <v>168</v>
      </c>
      <c r="L77" s="124" t="s">
        <v>169</v>
      </c>
      <c r="M77" s="124" t="s">
        <v>170</v>
      </c>
      <c r="N77" s="124" t="s">
        <v>171</v>
      </c>
      <c r="O77" s="124" t="s">
        <v>172</v>
      </c>
      <c r="P77" s="124" t="s">
        <v>173</v>
      </c>
      <c r="Q77" s="124" t="s">
        <v>164</v>
      </c>
      <c r="R77" s="124" t="s">
        <v>165</v>
      </c>
      <c r="S77" s="124" t="s">
        <v>166</v>
      </c>
      <c r="T77" s="124" t="s">
        <v>167</v>
      </c>
    </row>
    <row r="78" spans="1:20" x14ac:dyDescent="0.15">
      <c r="B78" s="61" t="s">
        <v>88</v>
      </c>
      <c r="C78" s="24">
        <v>0.5</v>
      </c>
      <c r="D78" s="24">
        <v>0.5</v>
      </c>
      <c r="E78" s="24">
        <v>0.5</v>
      </c>
      <c r="F78" s="24">
        <v>1</v>
      </c>
      <c r="G78" s="24">
        <v>0.8</v>
      </c>
      <c r="I78" s="125" t="s">
        <v>131</v>
      </c>
      <c r="J78" s="40" t="s">
        <v>78</v>
      </c>
      <c r="K78" s="124" t="s">
        <v>169</v>
      </c>
      <c r="L78" s="124" t="s">
        <v>168</v>
      </c>
      <c r="M78" s="124" t="s">
        <v>171</v>
      </c>
      <c r="N78" s="124" t="s">
        <v>170</v>
      </c>
      <c r="O78" s="124" t="s">
        <v>173</v>
      </c>
      <c r="P78" s="124" t="s">
        <v>172</v>
      </c>
      <c r="Q78" s="124" t="s">
        <v>165</v>
      </c>
      <c r="R78" s="124" t="s">
        <v>164</v>
      </c>
      <c r="S78" s="124" t="s">
        <v>167</v>
      </c>
      <c r="T78" s="124" t="s">
        <v>166</v>
      </c>
    </row>
    <row r="79" spans="1:20" x14ac:dyDescent="0.15">
      <c r="B79" s="61" t="s">
        <v>95</v>
      </c>
      <c r="C79" s="24">
        <v>0.5</v>
      </c>
      <c r="D79" s="24">
        <v>0.5</v>
      </c>
      <c r="E79" s="24">
        <v>0.5</v>
      </c>
      <c r="F79" s="24">
        <v>1</v>
      </c>
      <c r="G79" s="24">
        <v>0.5</v>
      </c>
      <c r="I79" s="125" t="s">
        <v>127</v>
      </c>
      <c r="J79" s="40" t="s">
        <v>85</v>
      </c>
      <c r="K79" s="124" t="s">
        <v>166</v>
      </c>
      <c r="L79" s="124" t="s">
        <v>167</v>
      </c>
      <c r="M79" s="124" t="s">
        <v>168</v>
      </c>
      <c r="N79" s="124" t="s">
        <v>169</v>
      </c>
      <c r="O79" s="124" t="s">
        <v>170</v>
      </c>
      <c r="P79" s="124" t="s">
        <v>171</v>
      </c>
      <c r="Q79" s="124" t="s">
        <v>172</v>
      </c>
      <c r="R79" s="124" t="s">
        <v>173</v>
      </c>
      <c r="S79" s="124" t="s">
        <v>164</v>
      </c>
      <c r="T79" s="124" t="s">
        <v>165</v>
      </c>
    </row>
    <row r="80" spans="1:20" x14ac:dyDescent="0.15">
      <c r="B80" s="61" t="s">
        <v>98</v>
      </c>
      <c r="C80" s="24">
        <v>0.5</v>
      </c>
      <c r="D80" s="24">
        <v>0.8</v>
      </c>
      <c r="E80" s="24">
        <v>1</v>
      </c>
      <c r="F80" s="24">
        <v>0.8</v>
      </c>
      <c r="G80" s="24">
        <v>0.5</v>
      </c>
      <c r="I80" s="125"/>
      <c r="J80" s="40" t="s">
        <v>92</v>
      </c>
      <c r="K80" s="124" t="s">
        <v>167</v>
      </c>
      <c r="L80" s="124" t="s">
        <v>166</v>
      </c>
      <c r="M80" s="124" t="s">
        <v>169</v>
      </c>
      <c r="N80" s="124" t="s">
        <v>168</v>
      </c>
      <c r="O80" s="124" t="s">
        <v>171</v>
      </c>
      <c r="P80" s="124" t="s">
        <v>170</v>
      </c>
      <c r="Q80" s="124" t="s">
        <v>173</v>
      </c>
      <c r="R80" s="124" t="s">
        <v>172</v>
      </c>
      <c r="S80" s="124" t="s">
        <v>165</v>
      </c>
      <c r="T80" s="124" t="s">
        <v>164</v>
      </c>
    </row>
    <row r="81" spans="1:12" x14ac:dyDescent="0.15">
      <c r="B81" s="61" t="s">
        <v>104</v>
      </c>
      <c r="C81" s="24">
        <v>0.8</v>
      </c>
      <c r="D81" s="24">
        <v>0.5</v>
      </c>
      <c r="E81" s="24">
        <v>0.5</v>
      </c>
      <c r="F81" s="24">
        <v>0.5</v>
      </c>
      <c r="G81" s="24">
        <v>1</v>
      </c>
    </row>
    <row r="83" spans="1:12" ht="15" x14ac:dyDescent="0.2">
      <c r="C83" s="26">
        <f>INDEX(C70:G81,MATCH(F22,B70:B81,0),MATCH("Wood",C69:G69,0))</f>
        <v>0.8</v>
      </c>
      <c r="D83" s="26">
        <f>INDEX(C70:G81,MATCH(F22,B70:B81,0),MATCH("Fire",C69:G69,0))</f>
        <v>0.8</v>
      </c>
      <c r="E83" s="26">
        <f>INDEX(C70:G81,MATCH(F22,B70:B81,0),MATCH("Earth",C69:G69,0))</f>
        <v>1</v>
      </c>
      <c r="F83" s="26">
        <f>INDEX(C70:G81,MATCH(F22,B70:B81,0),MATCH("Metal",C69:G69,0))</f>
        <v>0.5</v>
      </c>
      <c r="G83" s="26">
        <f>INDEX(C70:G81,MATCH(F22,B70:B81,0),MATCH("Water",C69:G69,0))</f>
        <v>0.5</v>
      </c>
    </row>
    <row r="85" spans="1:12" ht="15" x14ac:dyDescent="0.2">
      <c r="A85" s="26" t="s">
        <v>175</v>
      </c>
    </row>
    <row r="87" spans="1:12" x14ac:dyDescent="0.15">
      <c r="B87" s="25" t="s">
        <v>176</v>
      </c>
      <c r="C87" s="23" t="str">
        <f>VLOOKUP(E21,B28:I37,8,FALSE)</f>
        <v>Fire</v>
      </c>
      <c r="F87" s="23" t="str">
        <f>VLOOKUP(E21,B28:I37,7,FALSE)</f>
        <v>Yin</v>
      </c>
    </row>
    <row r="88" spans="1:12" x14ac:dyDescent="0.15">
      <c r="B88" s="25" t="s">
        <v>177</v>
      </c>
      <c r="C88" s="23" t="str">
        <f>VLOOKUP(G22,B38:K49,8,FALSE)</f>
        <v>Fire</v>
      </c>
      <c r="D88" s="23" t="str">
        <f>VLOOKUP(G22,B38:K49,9,FALSE)</f>
        <v>Metal</v>
      </c>
      <c r="E88" s="23" t="str">
        <f>VLOOKUP(G22,B38:K49,10,FALSE)</f>
        <v>Earth</v>
      </c>
    </row>
    <row r="89" spans="1:12" x14ac:dyDescent="0.15">
      <c r="B89" s="25" t="s">
        <v>178</v>
      </c>
      <c r="C89" s="23" t="str">
        <f>VLOOKUP(F22,B38:K49,8,FALSE)</f>
        <v>Earth</v>
      </c>
      <c r="D89" s="23" t="str">
        <f>VLOOKUP(F22,B38:K49,9,FALSE)</f>
        <v>Fire</v>
      </c>
      <c r="E89" s="23" t="str">
        <f>VLOOKUP(F22,B38:K49,10,FALSE)</f>
        <v>Wood</v>
      </c>
      <c r="F89" s="23" t="str">
        <f>VLOOKUP(F22,B38:K49,7,FALSE)</f>
        <v>Yin</v>
      </c>
    </row>
    <row r="90" spans="1:12" x14ac:dyDescent="0.15">
      <c r="B90" s="25" t="s">
        <v>179</v>
      </c>
      <c r="C90" s="23" t="str">
        <f>VLOOKUP(E22,B38:K49,8,FALSE)</f>
        <v>Wood</v>
      </c>
      <c r="D90" s="23">
        <f>VLOOKUP(E22,B38:K49,9,FALSE)</f>
        <v>0</v>
      </c>
      <c r="E90" s="23">
        <f>VLOOKUP(E22,B38:K49,10,FALSE)</f>
        <v>0</v>
      </c>
    </row>
    <row r="91" spans="1:12" ht="15" x14ac:dyDescent="0.2">
      <c r="B91" s="25" t="s">
        <v>180</v>
      </c>
      <c r="C91" s="23" t="str">
        <f>IF(D22="",0,VLOOKUP(D22,B38:K49,8,FALSE))</f>
        <v>Water</v>
      </c>
      <c r="D91" s="23">
        <f>IF(D22="",0,VLOOKUP(D22,B38:K49,9,FALSE))</f>
        <v>0</v>
      </c>
      <c r="E91" s="23">
        <f>IF(D22="",0,VLOOKUP(D22,B38:K49,10,FALSE))</f>
        <v>0</v>
      </c>
      <c r="G91" s="26" t="str">
        <f>IF(COUNTIF(C88:F91,C87),"Rooted","Unrooted")</f>
        <v>Rooted</v>
      </c>
    </row>
    <row r="93" spans="1:12" x14ac:dyDescent="0.15">
      <c r="B93" s="17"/>
      <c r="C93" s="17" t="s">
        <v>37</v>
      </c>
      <c r="D93" s="17" t="s">
        <v>35</v>
      </c>
      <c r="E93" s="17" t="s">
        <v>38</v>
      </c>
      <c r="F93" s="17" t="s">
        <v>39</v>
      </c>
      <c r="G93" s="17" t="s">
        <v>40</v>
      </c>
    </row>
    <row r="94" spans="1:12" ht="15" x14ac:dyDescent="0.2">
      <c r="B94" s="50" t="s">
        <v>181</v>
      </c>
      <c r="C94" s="28">
        <f>C64*C83</f>
        <v>176</v>
      </c>
      <c r="D94" s="28">
        <f>E64*D83</f>
        <v>64</v>
      </c>
      <c r="E94" s="28">
        <f>G64*E83</f>
        <v>80</v>
      </c>
      <c r="F94" s="28">
        <f>I64*F83</f>
        <v>10</v>
      </c>
      <c r="G94" s="28">
        <f>K64*G83</f>
        <v>150</v>
      </c>
      <c r="H94" s="27">
        <f>SUM(C94:G94)</f>
        <v>480</v>
      </c>
    </row>
    <row r="95" spans="1:12" x14ac:dyDescent="0.15">
      <c r="B95" s="51" t="s">
        <v>182</v>
      </c>
      <c r="C95" s="40">
        <f>ROUND((C94/H94)*100,2)</f>
        <v>36.67</v>
      </c>
      <c r="D95" s="40">
        <f>ROUND((D94/H94)*100,2)</f>
        <v>13.33</v>
      </c>
      <c r="E95" s="40">
        <f>ROUND((E94/H94)*100,2)</f>
        <v>16.670000000000002</v>
      </c>
      <c r="F95" s="40">
        <f>ROUND((F94/H94)*100,2)</f>
        <v>2.08</v>
      </c>
      <c r="G95" s="40">
        <f>ROUND((G94/H94)*100,2)</f>
        <v>31.25</v>
      </c>
      <c r="L95" s="23"/>
    </row>
    <row r="96" spans="1:12" x14ac:dyDescent="0.15">
      <c r="B96" s="35"/>
      <c r="L96" s="23"/>
    </row>
    <row r="97" spans="1:17" x14ac:dyDescent="0.15">
      <c r="B97" s="40" t="str">
        <f t="shared" ref="B97:K97" si="3">B53</f>
        <v>Jia</v>
      </c>
      <c r="C97" s="40" t="str">
        <f t="shared" si="3"/>
        <v>Yi</v>
      </c>
      <c r="D97" s="40" t="str">
        <f t="shared" si="3"/>
        <v>Bing</v>
      </c>
      <c r="E97" s="40" t="str">
        <f t="shared" si="3"/>
        <v>Ding</v>
      </c>
      <c r="F97" s="40" t="str">
        <f t="shared" si="3"/>
        <v>Wu</v>
      </c>
      <c r="G97" s="40" t="str">
        <f t="shared" si="3"/>
        <v>Ji</v>
      </c>
      <c r="H97" s="40" t="str">
        <f t="shared" si="3"/>
        <v>Geng</v>
      </c>
      <c r="I97" s="40" t="str">
        <f t="shared" si="3"/>
        <v>Xin</v>
      </c>
      <c r="J97" s="40" t="str">
        <f t="shared" si="3"/>
        <v>Ren</v>
      </c>
      <c r="K97" s="40" t="str">
        <f t="shared" si="3"/>
        <v>Gui</v>
      </c>
      <c r="L97" s="23"/>
    </row>
    <row r="98" spans="1:17" x14ac:dyDescent="0.15">
      <c r="B98" s="124" t="str">
        <f>INDEX(K71:T80,MATCH(E21,J71:J80,0),MATCH(B53,K70:T70,0))</f>
        <v>Direct Resource</v>
      </c>
      <c r="C98" s="124" t="str">
        <f>INDEX(K71:T80,MATCH(E21,J71:J80,0),MATCH(C53,K70:T70,0))</f>
        <v>Indirect Resource</v>
      </c>
      <c r="D98" s="124" t="str">
        <f>INDEX(K71:T80,MATCH(E21,J71:J80,0),MATCH(D53,K70:T70,0))</f>
        <v>Rob Wealth</v>
      </c>
      <c r="E98" s="124" t="str">
        <f>INDEX(K71:T80,MATCH(E21,J71:J80,0),MATCH(E53,K70:T70,0))</f>
        <v>Friend</v>
      </c>
      <c r="F98" s="124" t="str">
        <f>INDEX(K71:T80,MATCH(E21,J71:J80,0),MATCH(F53,K70:T70,0))</f>
        <v>Hurting Officer</v>
      </c>
      <c r="G98" s="124" t="str">
        <f>INDEX(K71:T80,MATCH(E21,J71:J80,0),MATCH(G53,K70:T70,0))</f>
        <v>Eating God</v>
      </c>
      <c r="H98" s="124" t="str">
        <f>INDEX(K71:T80,MATCH(E21,J71:J80,0),MATCH(H53,K70:T70,0))</f>
        <v>Direct Wealth</v>
      </c>
      <c r="I98" s="124" t="str">
        <f>INDEX(K71:T80,MATCH(E21,J71:J80,0),MATCH(I53,K70:T70,0))</f>
        <v>Indirect Wealth</v>
      </c>
      <c r="J98" s="124" t="str">
        <f>INDEX(K71:T80,MATCH(E21,J71:J80,0),MATCH(J53,K70:T70,0))</f>
        <v>Direct Officer</v>
      </c>
      <c r="K98" s="124" t="str">
        <f>INDEX(K71:T80,MATCH(E21,J71:J80,0),MATCH(K53,K70:T70,0))</f>
        <v>Qi Sha</v>
      </c>
      <c r="L98" s="23"/>
    </row>
    <row r="99" spans="1:17" x14ac:dyDescent="0.15">
      <c r="B99" s="40">
        <f>B63*C83</f>
        <v>0</v>
      </c>
      <c r="C99" s="40">
        <f>C63*C83</f>
        <v>176</v>
      </c>
      <c r="D99" s="40">
        <f>D63*D83</f>
        <v>48</v>
      </c>
      <c r="E99" s="40">
        <f>E63*D83</f>
        <v>16</v>
      </c>
      <c r="F99" s="40">
        <f>F63*E83</f>
        <v>20</v>
      </c>
      <c r="G99" s="40">
        <f>G63*E83</f>
        <v>60</v>
      </c>
      <c r="H99" s="40">
        <f>H63*F83</f>
        <v>10</v>
      </c>
      <c r="I99" s="40">
        <f>I63*F83</f>
        <v>0</v>
      </c>
      <c r="J99" s="40">
        <f>J63*G83</f>
        <v>50</v>
      </c>
      <c r="K99" s="40">
        <f>K63*G83</f>
        <v>100</v>
      </c>
      <c r="L99" s="23"/>
    </row>
    <row r="100" spans="1:17" x14ac:dyDescent="0.15">
      <c r="B100" s="35"/>
      <c r="L100" s="23"/>
    </row>
    <row r="101" spans="1:17" ht="19" x14ac:dyDescent="0.25">
      <c r="A101" s="60" t="s">
        <v>183</v>
      </c>
      <c r="B101" s="35"/>
    </row>
    <row r="103" spans="1:17" ht="15" x14ac:dyDescent="0.2">
      <c r="C103" s="26" t="s">
        <v>184</v>
      </c>
      <c r="D103" s="55" t="str">
        <f>Calc!D53</f>
        <v>Ren</v>
      </c>
      <c r="E103" s="68" t="str">
        <f>Calc!E45</f>
        <v>Wu</v>
      </c>
      <c r="F103" s="67"/>
      <c r="G103" s="67"/>
    </row>
    <row r="104" spans="1:17" ht="15" x14ac:dyDescent="0.2">
      <c r="D104" s="55" t="str">
        <f>Calc!G53</f>
        <v>Zi</v>
      </c>
      <c r="E104" s="55" t="str">
        <f>Calc!H45</f>
        <v>Chen</v>
      </c>
      <c r="F104" s="67"/>
      <c r="G104" s="67"/>
    </row>
    <row r="105" spans="1:17" ht="15" x14ac:dyDescent="0.2">
      <c r="F105" s="67"/>
      <c r="G105" s="67"/>
    </row>
    <row r="106" spans="1:17" s="1" customFormat="1" ht="15" x14ac:dyDescent="0.2">
      <c r="A106" s="77" t="s">
        <v>185</v>
      </c>
    </row>
    <row r="107" spans="1:17" s="4" customFormat="1" x14ac:dyDescent="0.1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spans="1:17" s="1" customFormat="1" ht="13" x14ac:dyDescent="0.15">
      <c r="B108" s="63"/>
      <c r="C108" s="64" t="s">
        <v>28</v>
      </c>
      <c r="D108" s="64" t="s">
        <v>41</v>
      </c>
      <c r="E108" s="64" t="s">
        <v>47</v>
      </c>
      <c r="F108" s="64" t="s">
        <v>55</v>
      </c>
      <c r="G108" s="64" t="s">
        <v>62</v>
      </c>
      <c r="H108" s="64" t="s">
        <v>68</v>
      </c>
      <c r="I108" s="64" t="s">
        <v>74</v>
      </c>
      <c r="J108" s="64" t="s">
        <v>78</v>
      </c>
      <c r="K108" s="64" t="s">
        <v>85</v>
      </c>
      <c r="L108" s="64" t="s">
        <v>92</v>
      </c>
      <c r="M108" s="63" t="s">
        <v>186</v>
      </c>
      <c r="N108" s="63" t="s">
        <v>187</v>
      </c>
      <c r="P108" s="18" t="s">
        <v>188</v>
      </c>
      <c r="Q108" s="62"/>
    </row>
    <row r="109" spans="1:17" s="1" customFormat="1" ht="13" x14ac:dyDescent="0.15">
      <c r="B109" s="64" t="s">
        <v>31</v>
      </c>
      <c r="C109" s="65" t="s">
        <v>189</v>
      </c>
      <c r="D109" s="65" t="s">
        <v>190</v>
      </c>
      <c r="E109" s="65" t="s">
        <v>189</v>
      </c>
      <c r="F109" s="65" t="s">
        <v>191</v>
      </c>
      <c r="G109" s="65" t="s">
        <v>189</v>
      </c>
      <c r="H109" s="65" t="s">
        <v>192</v>
      </c>
      <c r="I109" s="65" t="s">
        <v>189</v>
      </c>
      <c r="J109" s="65" t="s">
        <v>193</v>
      </c>
      <c r="K109" s="65" t="s">
        <v>189</v>
      </c>
      <c r="L109" s="65" t="s">
        <v>194</v>
      </c>
      <c r="M109" s="66" t="s">
        <v>195</v>
      </c>
      <c r="N109" s="66" t="s">
        <v>192</v>
      </c>
      <c r="P109" s="17" t="s">
        <v>28</v>
      </c>
      <c r="Q109" s="62" t="s">
        <v>68</v>
      </c>
    </row>
    <row r="110" spans="1:17" s="1" customFormat="1" ht="13" x14ac:dyDescent="0.15">
      <c r="B110" s="64" t="s">
        <v>44</v>
      </c>
      <c r="C110" s="65" t="s">
        <v>196</v>
      </c>
      <c r="D110" s="65" t="s">
        <v>189</v>
      </c>
      <c r="E110" s="65" t="s">
        <v>197</v>
      </c>
      <c r="F110" s="65" t="s">
        <v>189</v>
      </c>
      <c r="G110" s="65" t="s">
        <v>198</v>
      </c>
      <c r="H110" s="65" t="s">
        <v>189</v>
      </c>
      <c r="I110" s="65" t="s">
        <v>199</v>
      </c>
      <c r="J110" s="65" t="s">
        <v>189</v>
      </c>
      <c r="K110" s="65" t="s">
        <v>200</v>
      </c>
      <c r="L110" s="65" t="s">
        <v>189</v>
      </c>
      <c r="M110" s="66" t="s">
        <v>201</v>
      </c>
      <c r="N110" s="66" t="s">
        <v>196</v>
      </c>
      <c r="P110" s="17" t="s">
        <v>41</v>
      </c>
      <c r="Q110" s="62" t="s">
        <v>74</v>
      </c>
    </row>
    <row r="111" spans="1:17" s="1" customFormat="1" ht="13" x14ac:dyDescent="0.15">
      <c r="B111" s="64" t="s">
        <v>50</v>
      </c>
      <c r="C111" s="65" t="s">
        <v>189</v>
      </c>
      <c r="D111" s="65" t="s">
        <v>202</v>
      </c>
      <c r="E111" s="65" t="s">
        <v>189</v>
      </c>
      <c r="F111" s="65" t="s">
        <v>203</v>
      </c>
      <c r="G111" s="65" t="s">
        <v>189</v>
      </c>
      <c r="H111" s="65" t="s">
        <v>204</v>
      </c>
      <c r="I111" s="65" t="s">
        <v>189</v>
      </c>
      <c r="J111" s="65" t="s">
        <v>205</v>
      </c>
      <c r="K111" s="65" t="s">
        <v>206</v>
      </c>
      <c r="L111" s="65" t="s">
        <v>189</v>
      </c>
      <c r="M111" s="66" t="s">
        <v>207</v>
      </c>
      <c r="N111" s="66" t="s">
        <v>208</v>
      </c>
      <c r="P111" s="17" t="s">
        <v>47</v>
      </c>
      <c r="Q111" s="62" t="s">
        <v>78</v>
      </c>
    </row>
    <row r="112" spans="1:17" s="1" customFormat="1" ht="13" x14ac:dyDescent="0.15">
      <c r="B112" s="64" t="s">
        <v>58</v>
      </c>
      <c r="C112" s="65" t="s">
        <v>209</v>
      </c>
      <c r="D112" s="65" t="s">
        <v>189</v>
      </c>
      <c r="E112" s="65" t="s">
        <v>210</v>
      </c>
      <c r="F112" s="65" t="s">
        <v>189</v>
      </c>
      <c r="G112" s="65" t="s">
        <v>207</v>
      </c>
      <c r="H112" s="65" t="s">
        <v>189</v>
      </c>
      <c r="I112" s="65" t="s">
        <v>211</v>
      </c>
      <c r="J112" s="65" t="s">
        <v>212</v>
      </c>
      <c r="K112" s="65" t="s">
        <v>189</v>
      </c>
      <c r="L112" s="65" t="s">
        <v>189</v>
      </c>
      <c r="M112" s="66" t="s">
        <v>213</v>
      </c>
      <c r="N112" s="66" t="s">
        <v>214</v>
      </c>
      <c r="P112" s="17" t="s">
        <v>55</v>
      </c>
      <c r="Q112" s="62" t="s">
        <v>85</v>
      </c>
    </row>
    <row r="113" spans="1:18" s="1" customFormat="1" ht="13" x14ac:dyDescent="0.15">
      <c r="B113" s="64" t="s">
        <v>65</v>
      </c>
      <c r="C113" s="65" t="s">
        <v>189</v>
      </c>
      <c r="D113" s="65" t="s">
        <v>215</v>
      </c>
      <c r="E113" s="65" t="s">
        <v>189</v>
      </c>
      <c r="F113" s="65" t="s">
        <v>216</v>
      </c>
      <c r="G113" s="65" t="s">
        <v>189</v>
      </c>
      <c r="H113" s="65" t="s">
        <v>217</v>
      </c>
      <c r="I113" s="65" t="s">
        <v>218</v>
      </c>
      <c r="J113" s="65" t="s">
        <v>189</v>
      </c>
      <c r="K113" s="65" t="s">
        <v>201</v>
      </c>
      <c r="L113" s="65" t="s">
        <v>189</v>
      </c>
      <c r="M113" s="66" t="s">
        <v>219</v>
      </c>
      <c r="N113" s="66" t="s">
        <v>220</v>
      </c>
      <c r="P113" s="17" t="s">
        <v>62</v>
      </c>
      <c r="Q113" s="62" t="s">
        <v>92</v>
      </c>
    </row>
    <row r="114" spans="1:18" s="1" customFormat="1" ht="13" x14ac:dyDescent="0.15">
      <c r="B114" s="64" t="s">
        <v>71</v>
      </c>
      <c r="C114" s="65" t="s">
        <v>221</v>
      </c>
      <c r="D114" s="65" t="s">
        <v>189</v>
      </c>
      <c r="E114" s="65" t="s">
        <v>222</v>
      </c>
      <c r="F114" s="65" t="s">
        <v>189</v>
      </c>
      <c r="G114" s="65" t="s">
        <v>223</v>
      </c>
      <c r="H114" s="65" t="s">
        <v>224</v>
      </c>
      <c r="I114" s="65" t="s">
        <v>189</v>
      </c>
      <c r="J114" s="65" t="s">
        <v>225</v>
      </c>
      <c r="K114" s="65" t="s">
        <v>189</v>
      </c>
      <c r="L114" s="65" t="s">
        <v>189</v>
      </c>
      <c r="M114" s="66" t="s">
        <v>226</v>
      </c>
      <c r="N114" s="66" t="s">
        <v>221</v>
      </c>
      <c r="P114" s="17" t="s">
        <v>68</v>
      </c>
      <c r="Q114" s="62" t="s">
        <v>28</v>
      </c>
    </row>
    <row r="115" spans="1:18" s="1" customFormat="1" ht="13" x14ac:dyDescent="0.15">
      <c r="B115" s="64" t="s">
        <v>62</v>
      </c>
      <c r="C115" s="65" t="s">
        <v>189</v>
      </c>
      <c r="D115" s="65" t="s">
        <v>227</v>
      </c>
      <c r="E115" s="65" t="s">
        <v>189</v>
      </c>
      <c r="F115" s="65" t="s">
        <v>195</v>
      </c>
      <c r="G115" s="65" t="s">
        <v>220</v>
      </c>
      <c r="H115" s="65" t="s">
        <v>189</v>
      </c>
      <c r="I115" s="65" t="s">
        <v>228</v>
      </c>
      <c r="J115" s="65" t="s">
        <v>189</v>
      </c>
      <c r="K115" s="65" t="s">
        <v>229</v>
      </c>
      <c r="L115" s="65" t="s">
        <v>189</v>
      </c>
      <c r="M115" s="66" t="s">
        <v>230</v>
      </c>
      <c r="N115" s="66" t="s">
        <v>231</v>
      </c>
      <c r="P115" s="17" t="s">
        <v>74</v>
      </c>
      <c r="Q115" s="62" t="s">
        <v>41</v>
      </c>
    </row>
    <row r="116" spans="1:18" s="1" customFormat="1" ht="13" x14ac:dyDescent="0.15">
      <c r="B116" s="64" t="s">
        <v>80</v>
      </c>
      <c r="C116" s="65" t="s">
        <v>208</v>
      </c>
      <c r="D116" s="65" t="s">
        <v>189</v>
      </c>
      <c r="E116" s="65" t="s">
        <v>232</v>
      </c>
      <c r="F116" s="65" t="s">
        <v>233</v>
      </c>
      <c r="G116" s="65" t="s">
        <v>189</v>
      </c>
      <c r="H116" s="65" t="s">
        <v>234</v>
      </c>
      <c r="I116" s="65" t="s">
        <v>189</v>
      </c>
      <c r="J116" s="65" t="s">
        <v>235</v>
      </c>
      <c r="K116" s="65" t="s">
        <v>189</v>
      </c>
      <c r="L116" s="65" t="s">
        <v>189</v>
      </c>
      <c r="M116" s="66" t="s">
        <v>233</v>
      </c>
      <c r="N116" s="66" t="s">
        <v>204</v>
      </c>
      <c r="P116" s="17" t="s">
        <v>78</v>
      </c>
      <c r="Q116" s="62" t="s">
        <v>47</v>
      </c>
    </row>
    <row r="117" spans="1:18" s="1" customFormat="1" ht="13" x14ac:dyDescent="0.15">
      <c r="B117" s="64" t="s">
        <v>88</v>
      </c>
      <c r="C117" s="65" t="s">
        <v>189</v>
      </c>
      <c r="D117" s="65" t="s">
        <v>236</v>
      </c>
      <c r="E117" s="65" t="s">
        <v>237</v>
      </c>
      <c r="F117" s="65" t="s">
        <v>189</v>
      </c>
      <c r="G117" s="65" t="s">
        <v>214</v>
      </c>
      <c r="H117" s="65" t="s">
        <v>189</v>
      </c>
      <c r="I117" s="65" t="s">
        <v>238</v>
      </c>
      <c r="J117" s="65" t="s">
        <v>189</v>
      </c>
      <c r="K117" s="65" t="s">
        <v>226</v>
      </c>
      <c r="L117" s="65" t="s">
        <v>189</v>
      </c>
      <c r="M117" s="66" t="s">
        <v>239</v>
      </c>
      <c r="N117" s="66" t="s">
        <v>240</v>
      </c>
      <c r="P117" s="17" t="s">
        <v>85</v>
      </c>
      <c r="Q117" s="62" t="s">
        <v>55</v>
      </c>
    </row>
    <row r="118" spans="1:18" s="1" customFormat="1" ht="13" x14ac:dyDescent="0.15">
      <c r="B118" s="64" t="s">
        <v>95</v>
      </c>
      <c r="C118" s="65" t="s">
        <v>241</v>
      </c>
      <c r="D118" s="65" t="s">
        <v>242</v>
      </c>
      <c r="E118" s="65" t="s">
        <v>189</v>
      </c>
      <c r="F118" s="65" t="s">
        <v>230</v>
      </c>
      <c r="G118" s="65" t="s">
        <v>189</v>
      </c>
      <c r="H118" s="65" t="s">
        <v>243</v>
      </c>
      <c r="I118" s="65" t="s">
        <v>189</v>
      </c>
      <c r="J118" s="65" t="s">
        <v>244</v>
      </c>
      <c r="K118" s="65" t="s">
        <v>189</v>
      </c>
      <c r="L118" s="65" t="s">
        <v>189</v>
      </c>
      <c r="M118" s="66" t="s">
        <v>206</v>
      </c>
      <c r="N118" s="66" t="s">
        <v>245</v>
      </c>
      <c r="P118" s="17" t="s">
        <v>92</v>
      </c>
      <c r="Q118" s="62" t="s">
        <v>62</v>
      </c>
    </row>
    <row r="119" spans="1:18" s="1" customFormat="1" ht="13" x14ac:dyDescent="0.15">
      <c r="B119" s="64" t="s">
        <v>98</v>
      </c>
      <c r="C119" s="65" t="s">
        <v>246</v>
      </c>
      <c r="D119" s="65" t="s">
        <v>189</v>
      </c>
      <c r="E119" s="65" t="s">
        <v>247</v>
      </c>
      <c r="F119" s="65" t="s">
        <v>189</v>
      </c>
      <c r="G119" s="65" t="s">
        <v>248</v>
      </c>
      <c r="H119" s="65" t="s">
        <v>189</v>
      </c>
      <c r="I119" s="65" t="s">
        <v>249</v>
      </c>
      <c r="J119" s="65" t="s">
        <v>189</v>
      </c>
      <c r="K119" s="65" t="s">
        <v>219</v>
      </c>
      <c r="L119" s="65" t="s">
        <v>189</v>
      </c>
      <c r="M119" s="66" t="s">
        <v>198</v>
      </c>
      <c r="N119" s="66" t="s">
        <v>223</v>
      </c>
    </row>
    <row r="120" spans="1:18" s="1" customFormat="1" ht="13" x14ac:dyDescent="0.15">
      <c r="B120" s="64" t="s">
        <v>104</v>
      </c>
      <c r="C120" s="65" t="s">
        <v>189</v>
      </c>
      <c r="D120" s="65" t="s">
        <v>250</v>
      </c>
      <c r="E120" s="65" t="s">
        <v>189</v>
      </c>
      <c r="F120" s="65" t="s">
        <v>251</v>
      </c>
      <c r="G120" s="65" t="s">
        <v>189</v>
      </c>
      <c r="H120" s="65" t="s">
        <v>252</v>
      </c>
      <c r="I120" s="65" t="s">
        <v>189</v>
      </c>
      <c r="J120" s="65" t="s">
        <v>253</v>
      </c>
      <c r="K120" s="65" t="s">
        <v>189</v>
      </c>
      <c r="L120" s="65" t="s">
        <v>245</v>
      </c>
      <c r="M120" s="66" t="s">
        <v>241</v>
      </c>
      <c r="N120" s="66" t="s">
        <v>205</v>
      </c>
    </row>
    <row r="121" spans="1:18" s="4" customFormat="1" x14ac:dyDescent="0.1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s="4" customFormat="1" x14ac:dyDescent="0.15">
      <c r="A122" s="1"/>
      <c r="B122" s="1" t="s">
        <v>254</v>
      </c>
      <c r="C122" s="1" t="s">
        <v>255</v>
      </c>
      <c r="D122" s="1" t="s">
        <v>256</v>
      </c>
      <c r="E122" s="1" t="s">
        <v>257</v>
      </c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s="4" customFormat="1" ht="14" x14ac:dyDescent="0.2">
      <c r="A123" s="1"/>
      <c r="B123" s="21" t="str">
        <f>INDEX(C109:L120,MATCH(D104,B109:B120,0),MATCH(E103,C108:L108,0))</f>
        <v xml:space="preserve"> </v>
      </c>
      <c r="C123" s="21" t="str">
        <f>INDEX(C109:L120,MATCH(D104,B109:B120,0),MATCH((VLOOKUP(E103,P109:Q118,2,FALSE)),C108:L108,0))</f>
        <v>TH1</v>
      </c>
      <c r="D123" s="21" t="str">
        <f>INDEX(M109:N120,MATCH(D104,B109:B120,0),MATCH("Ton",M108:N108,0))</f>
        <v>TH3</v>
      </c>
      <c r="E123" s="21" t="str">
        <f>INDEX(M109:N120,MATCH(D104,B109:B120,0),MATCH("Sed",M108:N108,0))</f>
        <v>GB38</v>
      </c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s="4" customFormat="1" x14ac:dyDescent="0.1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s="4" customFormat="1" ht="15" x14ac:dyDescent="0.2">
      <c r="A125" s="77" t="s">
        <v>258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77" t="s">
        <v>259</v>
      </c>
      <c r="P125" s="1"/>
      <c r="Q125" s="1"/>
      <c r="R125" s="1"/>
    </row>
    <row r="126" spans="1:18" s="4" customFormat="1" x14ac:dyDescent="0.1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s="4" customFormat="1" x14ac:dyDescent="0.15">
      <c r="A127" s="1"/>
      <c r="B127" s="1"/>
      <c r="C127" s="2" t="s">
        <v>31</v>
      </c>
      <c r="D127" s="2" t="s">
        <v>44</v>
      </c>
      <c r="E127" s="2" t="s">
        <v>50</v>
      </c>
      <c r="F127" s="2" t="s">
        <v>58</v>
      </c>
      <c r="G127" s="2" t="s">
        <v>65</v>
      </c>
      <c r="H127" s="2" t="s">
        <v>71</v>
      </c>
      <c r="I127" s="2" t="s">
        <v>62</v>
      </c>
      <c r="J127" s="2" t="s">
        <v>80</v>
      </c>
      <c r="K127" s="2" t="s">
        <v>88</v>
      </c>
      <c r="L127" s="2" t="s">
        <v>95</v>
      </c>
      <c r="M127" s="2" t="s">
        <v>98</v>
      </c>
      <c r="N127" s="2" t="s">
        <v>104</v>
      </c>
      <c r="O127" s="1"/>
      <c r="P127" s="1" t="s">
        <v>260</v>
      </c>
      <c r="Q127" s="1" t="s">
        <v>261</v>
      </c>
      <c r="R127" s="1" t="s">
        <v>262</v>
      </c>
    </row>
    <row r="128" spans="1:18" s="4" customFormat="1" x14ac:dyDescent="0.15">
      <c r="A128" s="1"/>
      <c r="B128" s="2" t="s">
        <v>263</v>
      </c>
      <c r="C128" s="58" t="s">
        <v>264</v>
      </c>
      <c r="D128" s="58" t="s">
        <v>265</v>
      </c>
      <c r="E128" s="58" t="s">
        <v>266</v>
      </c>
      <c r="F128" s="58" t="s">
        <v>267</v>
      </c>
      <c r="G128" s="58" t="s">
        <v>268</v>
      </c>
      <c r="H128" s="58" t="s">
        <v>269</v>
      </c>
      <c r="I128" s="58" t="s">
        <v>239</v>
      </c>
      <c r="J128" s="58" t="s">
        <v>267</v>
      </c>
      <c r="K128" s="58" t="s">
        <v>269</v>
      </c>
      <c r="L128" s="58" t="s">
        <v>270</v>
      </c>
      <c r="M128" s="58" t="s">
        <v>266</v>
      </c>
      <c r="N128" s="58" t="s">
        <v>267</v>
      </c>
      <c r="O128" s="1" t="s">
        <v>263</v>
      </c>
      <c r="P128" s="59" t="s">
        <v>271</v>
      </c>
      <c r="Q128" s="59" t="s">
        <v>272</v>
      </c>
      <c r="R128" s="23" t="s">
        <v>273</v>
      </c>
    </row>
    <row r="129" spans="2:18" s="4" customFormat="1" x14ac:dyDescent="0.15">
      <c r="B129" s="2" t="s">
        <v>274</v>
      </c>
      <c r="C129" s="58" t="s">
        <v>267</v>
      </c>
      <c r="D129" s="58" t="s">
        <v>269</v>
      </c>
      <c r="E129" s="58" t="s">
        <v>270</v>
      </c>
      <c r="F129" s="58" t="s">
        <v>266</v>
      </c>
      <c r="G129" s="58" t="s">
        <v>267</v>
      </c>
      <c r="H129" s="58" t="s">
        <v>265</v>
      </c>
      <c r="I129" s="58" t="s">
        <v>266</v>
      </c>
      <c r="J129" s="58" t="s">
        <v>267</v>
      </c>
      <c r="K129" s="58" t="s">
        <v>267</v>
      </c>
      <c r="L129" s="58" t="s">
        <v>269</v>
      </c>
      <c r="M129" s="58" t="s">
        <v>270</v>
      </c>
      <c r="N129" s="58" t="s">
        <v>267</v>
      </c>
      <c r="O129" s="1" t="s">
        <v>274</v>
      </c>
      <c r="P129" s="59" t="s">
        <v>275</v>
      </c>
      <c r="Q129" s="59" t="s">
        <v>276</v>
      </c>
      <c r="R129" s="23" t="s">
        <v>273</v>
      </c>
    </row>
    <row r="130" spans="2:18" s="4" customFormat="1" x14ac:dyDescent="0.15">
      <c r="B130" s="2" t="s">
        <v>277</v>
      </c>
      <c r="C130" s="58" t="s">
        <v>267</v>
      </c>
      <c r="D130" s="58" t="s">
        <v>267</v>
      </c>
      <c r="E130" s="58" t="s">
        <v>269</v>
      </c>
      <c r="F130" s="58" t="s">
        <v>270</v>
      </c>
      <c r="G130" s="58" t="s">
        <v>264</v>
      </c>
      <c r="H130" s="58" t="s">
        <v>265</v>
      </c>
      <c r="I130" s="58" t="s">
        <v>265</v>
      </c>
      <c r="J130" s="58" t="s">
        <v>266</v>
      </c>
      <c r="K130" s="58" t="s">
        <v>267</v>
      </c>
      <c r="L130" s="58" t="s">
        <v>268</v>
      </c>
      <c r="M130" s="58" t="s">
        <v>239</v>
      </c>
      <c r="N130" s="58" t="s">
        <v>270</v>
      </c>
      <c r="O130" s="1" t="s">
        <v>277</v>
      </c>
      <c r="P130" s="59" t="s">
        <v>278</v>
      </c>
      <c r="Q130" s="59" t="s">
        <v>279</v>
      </c>
      <c r="R130" s="23" t="s">
        <v>273</v>
      </c>
    </row>
    <row r="131" spans="2:18" s="4" customFormat="1" x14ac:dyDescent="0.15">
      <c r="B131" s="2" t="s">
        <v>280</v>
      </c>
      <c r="C131" s="58" t="s">
        <v>269</v>
      </c>
      <c r="D131" s="58" t="s">
        <v>270</v>
      </c>
      <c r="E131" s="58" t="s">
        <v>267</v>
      </c>
      <c r="F131" s="58" t="s">
        <v>269</v>
      </c>
      <c r="G131" s="58" t="s">
        <v>265</v>
      </c>
      <c r="H131" s="58" t="s">
        <v>266</v>
      </c>
      <c r="I131" s="58" t="s">
        <v>267</v>
      </c>
      <c r="J131" s="58" t="s">
        <v>265</v>
      </c>
      <c r="K131" s="58" t="s">
        <v>266</v>
      </c>
      <c r="L131" s="58" t="s">
        <v>270</v>
      </c>
      <c r="M131" s="58" t="s">
        <v>267</v>
      </c>
      <c r="N131" s="58" t="s">
        <v>269</v>
      </c>
      <c r="O131" s="1" t="s">
        <v>280</v>
      </c>
      <c r="P131" s="59" t="s">
        <v>281</v>
      </c>
      <c r="Q131" s="59" t="s">
        <v>282</v>
      </c>
      <c r="R131" s="23" t="s">
        <v>273</v>
      </c>
    </row>
    <row r="132" spans="2:18" s="4" customFormat="1" x14ac:dyDescent="0.15">
      <c r="B132" s="2" t="s">
        <v>283</v>
      </c>
      <c r="C132" s="58" t="s">
        <v>267</v>
      </c>
      <c r="D132" s="58" t="s">
        <v>269</v>
      </c>
      <c r="E132" s="58" t="s">
        <v>265</v>
      </c>
      <c r="F132" s="58" t="s">
        <v>266</v>
      </c>
      <c r="G132" s="58" t="s">
        <v>267</v>
      </c>
      <c r="H132" s="58" t="s">
        <v>268</v>
      </c>
      <c r="I132" s="58" t="s">
        <v>266</v>
      </c>
      <c r="J132" s="58" t="s">
        <v>239</v>
      </c>
      <c r="K132" s="58" t="s">
        <v>267</v>
      </c>
      <c r="L132" s="58" t="s">
        <v>269</v>
      </c>
      <c r="M132" s="58" t="s">
        <v>270</v>
      </c>
      <c r="N132" s="58" t="s">
        <v>264</v>
      </c>
      <c r="O132" s="1" t="s">
        <v>283</v>
      </c>
      <c r="P132" s="59" t="s">
        <v>284</v>
      </c>
      <c r="Q132" s="59" t="s">
        <v>285</v>
      </c>
      <c r="R132" s="59" t="s">
        <v>286</v>
      </c>
    </row>
    <row r="133" spans="2:18" s="4" customFormat="1" x14ac:dyDescent="0.15">
      <c r="B133" s="2" t="s">
        <v>287</v>
      </c>
      <c r="C133" s="58" t="s">
        <v>267</v>
      </c>
      <c r="D133" s="58" t="s">
        <v>269</v>
      </c>
      <c r="E133" s="58" t="s">
        <v>270</v>
      </c>
      <c r="F133" s="58" t="s">
        <v>267</v>
      </c>
      <c r="G133" s="58" t="s">
        <v>269</v>
      </c>
      <c r="H133" s="58" t="s">
        <v>265</v>
      </c>
      <c r="I133" s="58" t="s">
        <v>266</v>
      </c>
      <c r="J133" s="58" t="s">
        <v>267</v>
      </c>
      <c r="K133" s="58" t="s">
        <v>265</v>
      </c>
      <c r="L133" s="58" t="s">
        <v>266</v>
      </c>
      <c r="M133" s="58" t="s">
        <v>270</v>
      </c>
      <c r="N133" s="58" t="s">
        <v>267</v>
      </c>
      <c r="O133" s="1" t="s">
        <v>287</v>
      </c>
      <c r="P133" s="59" t="s">
        <v>288</v>
      </c>
      <c r="Q133" s="59" t="s">
        <v>289</v>
      </c>
      <c r="R133" s="59" t="s">
        <v>286</v>
      </c>
    </row>
    <row r="134" spans="2:18" s="4" customFormat="1" x14ac:dyDescent="0.15">
      <c r="B134" s="2" t="s">
        <v>290</v>
      </c>
      <c r="C134" s="58" t="s">
        <v>267</v>
      </c>
      <c r="D134" s="58" t="s">
        <v>269</v>
      </c>
      <c r="E134" s="58" t="s">
        <v>270</v>
      </c>
      <c r="F134" s="58" t="s">
        <v>266</v>
      </c>
      <c r="G134" s="58" t="s">
        <v>267</v>
      </c>
      <c r="H134" s="58" t="s">
        <v>268</v>
      </c>
      <c r="I134" s="58" t="s">
        <v>266</v>
      </c>
      <c r="J134" s="58" t="s">
        <v>267</v>
      </c>
      <c r="K134" s="58" t="s">
        <v>265</v>
      </c>
      <c r="L134" s="58" t="s">
        <v>269</v>
      </c>
      <c r="M134" s="58" t="s">
        <v>270</v>
      </c>
      <c r="N134" s="58" t="s">
        <v>264</v>
      </c>
      <c r="O134" s="1" t="s">
        <v>290</v>
      </c>
      <c r="P134" s="59" t="s">
        <v>291</v>
      </c>
      <c r="Q134" s="59" t="s">
        <v>292</v>
      </c>
      <c r="R134" s="59" t="s">
        <v>273</v>
      </c>
    </row>
    <row r="135" spans="2:18" s="4" customFormat="1" x14ac:dyDescent="0.15">
      <c r="B135" s="2" t="s">
        <v>293</v>
      </c>
      <c r="C135" s="58" t="s">
        <v>270</v>
      </c>
      <c r="D135" s="58" t="s">
        <v>266</v>
      </c>
      <c r="E135" s="58" t="s">
        <v>267</v>
      </c>
      <c r="F135" s="58" t="s">
        <v>265</v>
      </c>
      <c r="G135" s="58" t="s">
        <v>266</v>
      </c>
      <c r="H135" s="58" t="s">
        <v>267</v>
      </c>
      <c r="I135" s="58" t="s">
        <v>267</v>
      </c>
      <c r="J135" s="58" t="s">
        <v>269</v>
      </c>
      <c r="K135" s="58" t="s">
        <v>270</v>
      </c>
      <c r="L135" s="58" t="s">
        <v>267</v>
      </c>
      <c r="M135" s="58" t="s">
        <v>269</v>
      </c>
      <c r="N135" s="58" t="s">
        <v>265</v>
      </c>
      <c r="O135" s="1" t="s">
        <v>293</v>
      </c>
      <c r="P135" s="59" t="s">
        <v>294</v>
      </c>
      <c r="Q135" s="59" t="s">
        <v>295</v>
      </c>
      <c r="R135" s="59" t="s">
        <v>273</v>
      </c>
    </row>
    <row r="136" spans="2:18" s="4" customFormat="1" x14ac:dyDescent="0.15">
      <c r="B136" s="2" t="s">
        <v>296</v>
      </c>
      <c r="C136" s="58" t="s">
        <v>239</v>
      </c>
      <c r="D136" s="58" t="s">
        <v>267</v>
      </c>
      <c r="E136" s="58" t="s">
        <v>269</v>
      </c>
      <c r="F136" s="58" t="s">
        <v>270</v>
      </c>
      <c r="G136" s="58" t="s">
        <v>266</v>
      </c>
      <c r="H136" s="58" t="s">
        <v>267</v>
      </c>
      <c r="I136" s="58" t="s">
        <v>265</v>
      </c>
      <c r="J136" s="58" t="s">
        <v>266</v>
      </c>
      <c r="K136" s="58" t="s">
        <v>267</v>
      </c>
      <c r="L136" s="58" t="s">
        <v>267</v>
      </c>
      <c r="M136" s="58" t="s">
        <v>269</v>
      </c>
      <c r="N136" s="58" t="s">
        <v>270</v>
      </c>
      <c r="O136" s="1" t="s">
        <v>296</v>
      </c>
      <c r="P136" s="59" t="s">
        <v>297</v>
      </c>
      <c r="Q136" s="59" t="s">
        <v>298</v>
      </c>
      <c r="R136" s="59" t="s">
        <v>273</v>
      </c>
    </row>
    <row r="137" spans="2:18" s="4" customFormat="1" x14ac:dyDescent="0.15">
      <c r="B137" s="2" t="s">
        <v>299</v>
      </c>
      <c r="C137" s="58" t="s">
        <v>270</v>
      </c>
      <c r="D137" s="58" t="s">
        <v>267</v>
      </c>
      <c r="E137" s="58" t="s">
        <v>267</v>
      </c>
      <c r="F137" s="58" t="s">
        <v>265</v>
      </c>
      <c r="G137" s="58" t="s">
        <v>266</v>
      </c>
      <c r="H137" s="58" t="s">
        <v>267</v>
      </c>
      <c r="I137" s="58" t="s">
        <v>265</v>
      </c>
      <c r="J137" s="58" t="s">
        <v>269</v>
      </c>
      <c r="K137" s="58" t="s">
        <v>270</v>
      </c>
      <c r="L137" s="58" t="s">
        <v>267</v>
      </c>
      <c r="M137" s="58" t="s">
        <v>269</v>
      </c>
      <c r="N137" s="58" t="s">
        <v>270</v>
      </c>
      <c r="O137" s="1" t="s">
        <v>299</v>
      </c>
      <c r="P137" s="59" t="s">
        <v>300</v>
      </c>
      <c r="Q137" s="59" t="s">
        <v>301</v>
      </c>
      <c r="R137" s="59" t="s">
        <v>273</v>
      </c>
    </row>
    <row r="138" spans="2:18" s="4" customFormat="1" x14ac:dyDescent="0.15">
      <c r="B138" s="2" t="s">
        <v>302</v>
      </c>
      <c r="C138" s="58" t="s">
        <v>267</v>
      </c>
      <c r="D138" s="58" t="s">
        <v>268</v>
      </c>
      <c r="E138" s="58" t="s">
        <v>239</v>
      </c>
      <c r="F138" s="58" t="s">
        <v>267</v>
      </c>
      <c r="G138" s="58" t="s">
        <v>269</v>
      </c>
      <c r="H138" s="58" t="s">
        <v>265</v>
      </c>
      <c r="I138" s="58" t="s">
        <v>270</v>
      </c>
      <c r="J138" s="58" t="s">
        <v>264</v>
      </c>
      <c r="K138" s="58" t="s">
        <v>265</v>
      </c>
      <c r="L138" s="58" t="s">
        <v>266</v>
      </c>
      <c r="M138" s="58" t="s">
        <v>239</v>
      </c>
      <c r="N138" s="58" t="s">
        <v>267</v>
      </c>
      <c r="O138" s="1" t="s">
        <v>302</v>
      </c>
      <c r="P138" s="59" t="s">
        <v>271</v>
      </c>
      <c r="Q138" s="59" t="s">
        <v>303</v>
      </c>
      <c r="R138" s="59" t="s">
        <v>273</v>
      </c>
    </row>
    <row r="139" spans="2:18" s="4" customFormat="1" x14ac:dyDescent="0.15">
      <c r="B139" s="2" t="s">
        <v>304</v>
      </c>
      <c r="C139" s="58" t="s">
        <v>267</v>
      </c>
      <c r="D139" s="58" t="s">
        <v>265</v>
      </c>
      <c r="E139" s="58" t="s">
        <v>266</v>
      </c>
      <c r="F139" s="58" t="s">
        <v>270</v>
      </c>
      <c r="G139" s="58" t="s">
        <v>267</v>
      </c>
      <c r="H139" s="58" t="s">
        <v>269</v>
      </c>
      <c r="I139" s="58" t="s">
        <v>270</v>
      </c>
      <c r="J139" s="58" t="s">
        <v>267</v>
      </c>
      <c r="K139" s="58" t="s">
        <v>267</v>
      </c>
      <c r="L139" s="58" t="s">
        <v>265</v>
      </c>
      <c r="M139" s="58" t="s">
        <v>266</v>
      </c>
      <c r="N139" s="58" t="s">
        <v>267</v>
      </c>
      <c r="O139" s="1" t="s">
        <v>304</v>
      </c>
      <c r="P139" s="59" t="s">
        <v>275</v>
      </c>
      <c r="Q139" s="59" t="s">
        <v>305</v>
      </c>
      <c r="R139" s="59" t="s">
        <v>273</v>
      </c>
    </row>
    <row r="140" spans="2:18" s="4" customFormat="1" x14ac:dyDescent="0.15">
      <c r="B140" s="2" t="s">
        <v>306</v>
      </c>
      <c r="C140" s="58" t="s">
        <v>270</v>
      </c>
      <c r="D140" s="58" t="s">
        <v>266</v>
      </c>
      <c r="E140" s="58" t="s">
        <v>267</v>
      </c>
      <c r="F140" s="58" t="s">
        <v>268</v>
      </c>
      <c r="G140" s="58" t="s">
        <v>239</v>
      </c>
      <c r="H140" s="58" t="s">
        <v>267</v>
      </c>
      <c r="I140" s="58" t="s">
        <v>267</v>
      </c>
      <c r="J140" s="58" t="s">
        <v>269</v>
      </c>
      <c r="K140" s="58" t="s">
        <v>270</v>
      </c>
      <c r="L140" s="58" t="s">
        <v>264</v>
      </c>
      <c r="M140" s="58" t="s">
        <v>265</v>
      </c>
      <c r="N140" s="58" t="s">
        <v>268</v>
      </c>
      <c r="O140" s="1" t="s">
        <v>306</v>
      </c>
      <c r="P140" s="59" t="s">
        <v>278</v>
      </c>
      <c r="Q140" s="59" t="s">
        <v>272</v>
      </c>
      <c r="R140" s="59" t="s">
        <v>273</v>
      </c>
    </row>
    <row r="141" spans="2:18" s="4" customFormat="1" x14ac:dyDescent="0.15">
      <c r="B141" s="2" t="s">
        <v>307</v>
      </c>
      <c r="C141" s="58" t="s">
        <v>267</v>
      </c>
      <c r="D141" s="58" t="s">
        <v>269</v>
      </c>
      <c r="E141" s="58" t="s">
        <v>270</v>
      </c>
      <c r="F141" s="58" t="s">
        <v>267</v>
      </c>
      <c r="G141" s="58" t="s">
        <v>267</v>
      </c>
      <c r="H141" s="58" t="s">
        <v>265</v>
      </c>
      <c r="I141" s="58" t="s">
        <v>266</v>
      </c>
      <c r="J141" s="58" t="s">
        <v>267</v>
      </c>
      <c r="K141" s="58" t="s">
        <v>265</v>
      </c>
      <c r="L141" s="58" t="s">
        <v>269</v>
      </c>
      <c r="M141" s="58" t="s">
        <v>270</v>
      </c>
      <c r="N141" s="58" t="s">
        <v>267</v>
      </c>
      <c r="O141" s="1" t="s">
        <v>307</v>
      </c>
      <c r="P141" s="59" t="s">
        <v>281</v>
      </c>
      <c r="Q141" s="59" t="s">
        <v>276</v>
      </c>
      <c r="R141" s="59" t="s">
        <v>273</v>
      </c>
    </row>
    <row r="142" spans="2:18" s="4" customFormat="1" x14ac:dyDescent="0.15">
      <c r="B142" s="2" t="s">
        <v>308</v>
      </c>
      <c r="C142" s="58" t="s">
        <v>269</v>
      </c>
      <c r="D142" s="58" t="s">
        <v>270</v>
      </c>
      <c r="E142" s="58" t="s">
        <v>266</v>
      </c>
      <c r="F142" s="58" t="s">
        <v>267</v>
      </c>
      <c r="G142" s="58" t="s">
        <v>268</v>
      </c>
      <c r="H142" s="58" t="s">
        <v>239</v>
      </c>
      <c r="I142" s="58" t="s">
        <v>267</v>
      </c>
      <c r="J142" s="58" t="s">
        <v>267</v>
      </c>
      <c r="K142" s="58" t="s">
        <v>269</v>
      </c>
      <c r="L142" s="58" t="s">
        <v>270</v>
      </c>
      <c r="M142" s="58" t="s">
        <v>264</v>
      </c>
      <c r="N142" s="58" t="s">
        <v>265</v>
      </c>
      <c r="O142" s="1" t="s">
        <v>308</v>
      </c>
      <c r="P142" s="59" t="s">
        <v>284</v>
      </c>
      <c r="Q142" s="59" t="s">
        <v>279</v>
      </c>
      <c r="R142" s="59" t="s">
        <v>309</v>
      </c>
    </row>
    <row r="143" spans="2:18" s="4" customFormat="1" x14ac:dyDescent="0.15">
      <c r="B143" s="2" t="s">
        <v>310</v>
      </c>
      <c r="C143" s="58" t="s">
        <v>265</v>
      </c>
      <c r="D143" s="58" t="s">
        <v>266</v>
      </c>
      <c r="E143" s="58" t="s">
        <v>267</v>
      </c>
      <c r="F143" s="58" t="s">
        <v>265</v>
      </c>
      <c r="G143" s="58" t="s">
        <v>266</v>
      </c>
      <c r="H143" s="58" t="s">
        <v>270</v>
      </c>
      <c r="I143" s="58" t="s">
        <v>267</v>
      </c>
      <c r="J143" s="58" t="s">
        <v>269</v>
      </c>
      <c r="K143" s="58" t="s">
        <v>270</v>
      </c>
      <c r="L143" s="58" t="s">
        <v>267</v>
      </c>
      <c r="M143" s="58" t="s">
        <v>267</v>
      </c>
      <c r="N143" s="58" t="s">
        <v>265</v>
      </c>
      <c r="O143" s="1" t="s">
        <v>310</v>
      </c>
      <c r="P143" s="59" t="s">
        <v>288</v>
      </c>
      <c r="Q143" s="59" t="s">
        <v>282</v>
      </c>
      <c r="R143" s="59" t="s">
        <v>311</v>
      </c>
    </row>
    <row r="144" spans="2:18" s="4" customFormat="1" x14ac:dyDescent="0.15">
      <c r="B144" s="2" t="s">
        <v>312</v>
      </c>
      <c r="C144" s="58" t="s">
        <v>264</v>
      </c>
      <c r="D144" s="58" t="s">
        <v>265</v>
      </c>
      <c r="E144" s="58" t="s">
        <v>266</v>
      </c>
      <c r="F144" s="58" t="s">
        <v>239</v>
      </c>
      <c r="G144" s="58" t="s">
        <v>267</v>
      </c>
      <c r="H144" s="58" t="s">
        <v>269</v>
      </c>
      <c r="I144" s="58" t="s">
        <v>239</v>
      </c>
      <c r="J144" s="58" t="s">
        <v>267</v>
      </c>
      <c r="K144" s="58" t="s">
        <v>264</v>
      </c>
      <c r="L144" s="58" t="s">
        <v>265</v>
      </c>
      <c r="M144" s="58" t="s">
        <v>266</v>
      </c>
      <c r="N144" s="58" t="s">
        <v>267</v>
      </c>
      <c r="O144" s="1" t="s">
        <v>312</v>
      </c>
      <c r="P144" s="59" t="s">
        <v>291</v>
      </c>
      <c r="Q144" s="59" t="s">
        <v>285</v>
      </c>
      <c r="R144" s="59" t="s">
        <v>273</v>
      </c>
    </row>
    <row r="145" spans="2:18" s="4" customFormat="1" x14ac:dyDescent="0.15">
      <c r="B145" s="2" t="s">
        <v>313</v>
      </c>
      <c r="C145" s="58" t="s">
        <v>266</v>
      </c>
      <c r="D145" s="58" t="s">
        <v>270</v>
      </c>
      <c r="E145" s="58" t="s">
        <v>267</v>
      </c>
      <c r="F145" s="58" t="s">
        <v>269</v>
      </c>
      <c r="G145" s="58" t="s">
        <v>270</v>
      </c>
      <c r="H145" s="58" t="s">
        <v>267</v>
      </c>
      <c r="I145" s="58" t="s">
        <v>267</v>
      </c>
      <c r="J145" s="58" t="s">
        <v>265</v>
      </c>
      <c r="K145" s="58" t="s">
        <v>266</v>
      </c>
      <c r="L145" s="58" t="s">
        <v>267</v>
      </c>
      <c r="M145" s="58" t="s">
        <v>265</v>
      </c>
      <c r="N145" s="58" t="s">
        <v>269</v>
      </c>
      <c r="O145" s="1" t="s">
        <v>313</v>
      </c>
      <c r="P145" s="59" t="s">
        <v>294</v>
      </c>
      <c r="Q145" s="59" t="s">
        <v>289</v>
      </c>
      <c r="R145" s="59" t="s">
        <v>273</v>
      </c>
    </row>
    <row r="146" spans="2:18" s="4" customFormat="1" x14ac:dyDescent="0.15">
      <c r="B146" s="2" t="s">
        <v>314</v>
      </c>
      <c r="C146" s="58" t="s">
        <v>267</v>
      </c>
      <c r="D146" s="58" t="s">
        <v>269</v>
      </c>
      <c r="E146" s="58" t="s">
        <v>270</v>
      </c>
      <c r="F146" s="58" t="s">
        <v>264</v>
      </c>
      <c r="G146" s="58" t="s">
        <v>267</v>
      </c>
      <c r="H146" s="58" t="s">
        <v>268</v>
      </c>
      <c r="I146" s="58" t="s">
        <v>266</v>
      </c>
      <c r="J146" s="58" t="s">
        <v>267</v>
      </c>
      <c r="K146" s="58" t="s">
        <v>268</v>
      </c>
      <c r="L146" s="58" t="s">
        <v>269</v>
      </c>
      <c r="M146" s="58" t="s">
        <v>270</v>
      </c>
      <c r="N146" s="58" t="s">
        <v>264</v>
      </c>
      <c r="O146" s="1" t="s">
        <v>314</v>
      </c>
      <c r="P146" s="59" t="s">
        <v>297</v>
      </c>
      <c r="Q146" s="59" t="s">
        <v>292</v>
      </c>
      <c r="R146" s="59" t="s">
        <v>273</v>
      </c>
    </row>
    <row r="147" spans="2:18" s="4" customFormat="1" x14ac:dyDescent="0.15">
      <c r="B147" s="2" t="s">
        <v>315</v>
      </c>
      <c r="C147" s="58" t="s">
        <v>267</v>
      </c>
      <c r="D147" s="58" t="s">
        <v>265</v>
      </c>
      <c r="E147" s="58" t="s">
        <v>269</v>
      </c>
      <c r="F147" s="58" t="s">
        <v>270</v>
      </c>
      <c r="G147" s="58" t="s">
        <v>267</v>
      </c>
      <c r="H147" s="58" t="s">
        <v>269</v>
      </c>
      <c r="I147" s="58" t="s">
        <v>270</v>
      </c>
      <c r="J147" s="58" t="s">
        <v>266</v>
      </c>
      <c r="K147" s="58" t="s">
        <v>267</v>
      </c>
      <c r="L147" s="58" t="s">
        <v>265</v>
      </c>
      <c r="M147" s="58" t="s">
        <v>266</v>
      </c>
      <c r="N147" s="58" t="s">
        <v>267</v>
      </c>
      <c r="O147" s="1" t="s">
        <v>315</v>
      </c>
      <c r="P147" s="59" t="s">
        <v>300</v>
      </c>
      <c r="Q147" s="59" t="s">
        <v>295</v>
      </c>
      <c r="R147" s="59" t="s">
        <v>273</v>
      </c>
    </row>
    <row r="148" spans="2:18" s="4" customFormat="1" x14ac:dyDescent="0.15">
      <c r="B148" s="2" t="s">
        <v>316</v>
      </c>
      <c r="C148" s="58" t="s">
        <v>270</v>
      </c>
      <c r="D148" s="58" t="s">
        <v>264</v>
      </c>
      <c r="E148" s="58" t="s">
        <v>265</v>
      </c>
      <c r="F148" s="58" t="s">
        <v>266</v>
      </c>
      <c r="G148" s="58" t="s">
        <v>267</v>
      </c>
      <c r="H148" s="58" t="s">
        <v>267</v>
      </c>
      <c r="I148" s="58" t="s">
        <v>268</v>
      </c>
      <c r="J148" s="58" t="s">
        <v>239</v>
      </c>
      <c r="K148" s="58" t="s">
        <v>267</v>
      </c>
      <c r="L148" s="58" t="s">
        <v>269</v>
      </c>
      <c r="M148" s="58" t="s">
        <v>265</v>
      </c>
      <c r="N148" s="58" t="s">
        <v>266</v>
      </c>
      <c r="O148" s="1" t="s">
        <v>316</v>
      </c>
      <c r="P148" s="59" t="s">
        <v>271</v>
      </c>
      <c r="Q148" s="59" t="s">
        <v>298</v>
      </c>
      <c r="R148" s="59" t="s">
        <v>273</v>
      </c>
    </row>
    <row r="149" spans="2:18" s="4" customFormat="1" x14ac:dyDescent="0.15">
      <c r="B149" s="2" t="s">
        <v>317</v>
      </c>
      <c r="C149" s="58" t="s">
        <v>266</v>
      </c>
      <c r="D149" s="58" t="s">
        <v>267</v>
      </c>
      <c r="E149" s="58" t="s">
        <v>265</v>
      </c>
      <c r="F149" s="58" t="s">
        <v>269</v>
      </c>
      <c r="G149" s="58" t="s">
        <v>270</v>
      </c>
      <c r="H149" s="58" t="s">
        <v>267</v>
      </c>
      <c r="I149" s="58" t="s">
        <v>269</v>
      </c>
      <c r="J149" s="58" t="s">
        <v>270</v>
      </c>
      <c r="K149" s="58" t="s">
        <v>266</v>
      </c>
      <c r="L149" s="58" t="s">
        <v>267</v>
      </c>
      <c r="M149" s="58" t="s">
        <v>265</v>
      </c>
      <c r="N149" s="58" t="s">
        <v>266</v>
      </c>
      <c r="O149" s="1" t="s">
        <v>317</v>
      </c>
      <c r="P149" s="59" t="s">
        <v>275</v>
      </c>
      <c r="Q149" s="59" t="s">
        <v>301</v>
      </c>
      <c r="R149" s="59" t="s">
        <v>273</v>
      </c>
    </row>
    <row r="150" spans="2:18" s="4" customFormat="1" x14ac:dyDescent="0.15">
      <c r="B150" s="2" t="s">
        <v>318</v>
      </c>
      <c r="C150" s="58" t="s">
        <v>266</v>
      </c>
      <c r="D150" s="58" t="s">
        <v>239</v>
      </c>
      <c r="E150" s="58" t="s">
        <v>267</v>
      </c>
      <c r="F150" s="58" t="s">
        <v>269</v>
      </c>
      <c r="G150" s="58" t="s">
        <v>270</v>
      </c>
      <c r="H150" s="58" t="s">
        <v>264</v>
      </c>
      <c r="I150" s="58" t="s">
        <v>264</v>
      </c>
      <c r="J150" s="58" t="s">
        <v>265</v>
      </c>
      <c r="K150" s="58" t="s">
        <v>266</v>
      </c>
      <c r="L150" s="58" t="s">
        <v>267</v>
      </c>
      <c r="M150" s="58" t="s">
        <v>268</v>
      </c>
      <c r="N150" s="58" t="s">
        <v>269</v>
      </c>
      <c r="O150" s="1" t="s">
        <v>318</v>
      </c>
      <c r="P150" s="59" t="s">
        <v>278</v>
      </c>
      <c r="Q150" s="59" t="s">
        <v>303</v>
      </c>
      <c r="R150" s="59" t="s">
        <v>273</v>
      </c>
    </row>
    <row r="151" spans="2:18" s="4" customFormat="1" x14ac:dyDescent="0.15">
      <c r="B151" s="2" t="s">
        <v>319</v>
      </c>
      <c r="C151" s="58" t="s">
        <v>267</v>
      </c>
      <c r="D151" s="58" t="s">
        <v>265</v>
      </c>
      <c r="E151" s="58" t="s">
        <v>266</v>
      </c>
      <c r="F151" s="58" t="s">
        <v>267</v>
      </c>
      <c r="G151" s="58" t="s">
        <v>267</v>
      </c>
      <c r="H151" s="58" t="s">
        <v>269</v>
      </c>
      <c r="I151" s="58" t="s">
        <v>270</v>
      </c>
      <c r="J151" s="58" t="s">
        <v>267</v>
      </c>
      <c r="K151" s="58" t="s">
        <v>269</v>
      </c>
      <c r="L151" s="58" t="s">
        <v>265</v>
      </c>
      <c r="M151" s="58" t="s">
        <v>266</v>
      </c>
      <c r="N151" s="58" t="s">
        <v>267</v>
      </c>
      <c r="O151" s="1" t="s">
        <v>319</v>
      </c>
      <c r="P151" s="59" t="s">
        <v>281</v>
      </c>
      <c r="Q151" s="59" t="s">
        <v>305</v>
      </c>
      <c r="R151" s="59" t="s">
        <v>273</v>
      </c>
    </row>
    <row r="152" spans="2:18" s="4" customFormat="1" x14ac:dyDescent="0.15">
      <c r="B152" s="2" t="s">
        <v>320</v>
      </c>
      <c r="C152" s="58" t="s">
        <v>267</v>
      </c>
      <c r="D152" s="58" t="s">
        <v>268</v>
      </c>
      <c r="E152" s="58" t="s">
        <v>269</v>
      </c>
      <c r="F152" s="58" t="s">
        <v>270</v>
      </c>
      <c r="G152" s="58" t="s">
        <v>264</v>
      </c>
      <c r="H152" s="58" t="s">
        <v>265</v>
      </c>
      <c r="I152" s="58" t="s">
        <v>270</v>
      </c>
      <c r="J152" s="58" t="s">
        <v>266</v>
      </c>
      <c r="K152" s="58" t="s">
        <v>267</v>
      </c>
      <c r="L152" s="58" t="s">
        <v>268</v>
      </c>
      <c r="M152" s="58" t="s">
        <v>239</v>
      </c>
      <c r="N152" s="58" t="s">
        <v>267</v>
      </c>
      <c r="O152" s="1" t="s">
        <v>320</v>
      </c>
      <c r="P152" s="59" t="s">
        <v>284</v>
      </c>
      <c r="Q152" s="59" t="s">
        <v>272</v>
      </c>
      <c r="R152" s="59" t="s">
        <v>311</v>
      </c>
    </row>
    <row r="153" spans="2:18" s="4" customFormat="1" x14ac:dyDescent="0.15">
      <c r="B153" s="2" t="s">
        <v>321</v>
      </c>
      <c r="C153" s="58" t="s">
        <v>267</v>
      </c>
      <c r="D153" s="58" t="s">
        <v>265</v>
      </c>
      <c r="E153" s="58" t="s">
        <v>266</v>
      </c>
      <c r="F153" s="58" t="s">
        <v>267</v>
      </c>
      <c r="G153" s="58" t="s">
        <v>265</v>
      </c>
      <c r="H153" s="58" t="s">
        <v>269</v>
      </c>
      <c r="I153" s="58" t="s">
        <v>270</v>
      </c>
      <c r="J153" s="58" t="s">
        <v>267</v>
      </c>
      <c r="K153" s="58" t="s">
        <v>269</v>
      </c>
      <c r="L153" s="58" t="s">
        <v>270</v>
      </c>
      <c r="M153" s="58" t="s">
        <v>266</v>
      </c>
      <c r="N153" s="58" t="s">
        <v>267</v>
      </c>
      <c r="O153" s="1" t="s">
        <v>321</v>
      </c>
      <c r="P153" s="59" t="s">
        <v>288</v>
      </c>
      <c r="Q153" s="59" t="s">
        <v>276</v>
      </c>
      <c r="R153" s="59" t="s">
        <v>309</v>
      </c>
    </row>
    <row r="154" spans="2:18" s="4" customFormat="1" x14ac:dyDescent="0.15">
      <c r="B154" s="2" t="s">
        <v>322</v>
      </c>
      <c r="C154" s="58" t="s">
        <v>265</v>
      </c>
      <c r="D154" s="58" t="s">
        <v>266</v>
      </c>
      <c r="E154" s="58" t="s">
        <v>267</v>
      </c>
      <c r="F154" s="58" t="s">
        <v>267</v>
      </c>
      <c r="G154" s="58" t="s">
        <v>269</v>
      </c>
      <c r="H154" s="58" t="s">
        <v>270</v>
      </c>
      <c r="I154" s="58" t="s">
        <v>267</v>
      </c>
      <c r="J154" s="58" t="s">
        <v>269</v>
      </c>
      <c r="K154" s="58" t="s">
        <v>265</v>
      </c>
      <c r="L154" s="58" t="s">
        <v>266</v>
      </c>
      <c r="M154" s="58" t="s">
        <v>267</v>
      </c>
      <c r="N154" s="58" t="s">
        <v>268</v>
      </c>
      <c r="O154" s="1" t="s">
        <v>322</v>
      </c>
      <c r="P154" s="59" t="s">
        <v>291</v>
      </c>
      <c r="Q154" s="59" t="s">
        <v>279</v>
      </c>
      <c r="R154" s="59" t="s">
        <v>273</v>
      </c>
    </row>
    <row r="155" spans="2:18" s="4" customFormat="1" x14ac:dyDescent="0.15">
      <c r="B155" s="2" t="s">
        <v>323</v>
      </c>
      <c r="C155" s="58" t="s">
        <v>267</v>
      </c>
      <c r="D155" s="58" t="s">
        <v>267</v>
      </c>
      <c r="E155" s="58" t="s">
        <v>265</v>
      </c>
      <c r="F155" s="58" t="s">
        <v>266</v>
      </c>
      <c r="G155" s="58" t="s">
        <v>267</v>
      </c>
      <c r="H155" s="58" t="s">
        <v>265</v>
      </c>
      <c r="I155" s="58" t="s">
        <v>269</v>
      </c>
      <c r="J155" s="58" t="s">
        <v>270</v>
      </c>
      <c r="K155" s="58" t="s">
        <v>267</v>
      </c>
      <c r="L155" s="58" t="s">
        <v>269</v>
      </c>
      <c r="M155" s="58" t="s">
        <v>270</v>
      </c>
      <c r="N155" s="58" t="s">
        <v>266</v>
      </c>
      <c r="O155" s="1" t="s">
        <v>323</v>
      </c>
      <c r="P155" s="59" t="s">
        <v>294</v>
      </c>
      <c r="Q155" s="59" t="s">
        <v>282</v>
      </c>
      <c r="R155" s="59" t="s">
        <v>273</v>
      </c>
    </row>
    <row r="156" spans="2:18" s="4" customFormat="1" x14ac:dyDescent="0.15">
      <c r="B156" s="2" t="s">
        <v>324</v>
      </c>
      <c r="C156" s="58" t="s">
        <v>264</v>
      </c>
      <c r="D156" s="58" t="s">
        <v>265</v>
      </c>
      <c r="E156" s="58" t="s">
        <v>266</v>
      </c>
      <c r="F156" s="58" t="s">
        <v>267</v>
      </c>
      <c r="G156" s="58" t="s">
        <v>267</v>
      </c>
      <c r="H156" s="58" t="s">
        <v>269</v>
      </c>
      <c r="I156" s="58" t="s">
        <v>239</v>
      </c>
      <c r="J156" s="58" t="s">
        <v>267</v>
      </c>
      <c r="K156" s="58" t="s">
        <v>269</v>
      </c>
      <c r="L156" s="58" t="s">
        <v>265</v>
      </c>
      <c r="M156" s="58" t="s">
        <v>266</v>
      </c>
      <c r="N156" s="58" t="s">
        <v>267</v>
      </c>
      <c r="O156" s="1" t="s">
        <v>324</v>
      </c>
      <c r="P156" s="59" t="s">
        <v>297</v>
      </c>
      <c r="Q156" s="59" t="s">
        <v>285</v>
      </c>
      <c r="R156" s="59" t="s">
        <v>273</v>
      </c>
    </row>
    <row r="157" spans="2:18" s="4" customFormat="1" x14ac:dyDescent="0.15">
      <c r="B157" s="2" t="s">
        <v>325</v>
      </c>
      <c r="C157" s="58" t="s">
        <v>267</v>
      </c>
      <c r="D157" s="58" t="s">
        <v>269</v>
      </c>
      <c r="E157" s="58" t="s">
        <v>265</v>
      </c>
      <c r="F157" s="58" t="s">
        <v>266</v>
      </c>
      <c r="G157" s="58" t="s">
        <v>267</v>
      </c>
      <c r="H157" s="58" t="s">
        <v>265</v>
      </c>
      <c r="I157" s="58" t="s">
        <v>266</v>
      </c>
      <c r="J157" s="58" t="s">
        <v>270</v>
      </c>
      <c r="K157" s="58" t="s">
        <v>267</v>
      </c>
      <c r="L157" s="58" t="s">
        <v>269</v>
      </c>
      <c r="M157" s="58" t="s">
        <v>270</v>
      </c>
      <c r="N157" s="58" t="s">
        <v>267</v>
      </c>
      <c r="O157" s="1" t="s">
        <v>325</v>
      </c>
      <c r="P157" s="59" t="s">
        <v>300</v>
      </c>
      <c r="Q157" s="59" t="s">
        <v>289</v>
      </c>
      <c r="R157" s="59" t="s">
        <v>273</v>
      </c>
    </row>
    <row r="158" spans="2:18" s="4" customFormat="1" x14ac:dyDescent="0.15">
      <c r="B158" s="2" t="s">
        <v>326</v>
      </c>
      <c r="C158" s="58" t="s">
        <v>264</v>
      </c>
      <c r="D158" s="58" t="s">
        <v>265</v>
      </c>
      <c r="E158" s="58" t="s">
        <v>327</v>
      </c>
      <c r="F158" s="58" t="s">
        <v>267</v>
      </c>
      <c r="G158" s="58" t="s">
        <v>268</v>
      </c>
      <c r="H158" s="58" t="s">
        <v>269</v>
      </c>
      <c r="I158" s="58" t="s">
        <v>239</v>
      </c>
      <c r="J158" s="58" t="s">
        <v>267</v>
      </c>
      <c r="K158" s="58" t="s">
        <v>269</v>
      </c>
      <c r="L158" s="58" t="s">
        <v>270</v>
      </c>
      <c r="M158" s="58" t="s">
        <v>266</v>
      </c>
      <c r="N158" s="58" t="s">
        <v>267</v>
      </c>
      <c r="O158" s="1" t="s">
        <v>326</v>
      </c>
      <c r="P158" s="59" t="s">
        <v>271</v>
      </c>
      <c r="Q158" s="59" t="s">
        <v>292</v>
      </c>
      <c r="R158" s="59" t="s">
        <v>273</v>
      </c>
    </row>
    <row r="159" spans="2:18" s="4" customFormat="1" x14ac:dyDescent="0.15">
      <c r="B159" s="2" t="s">
        <v>328</v>
      </c>
      <c r="C159" s="58" t="s">
        <v>267</v>
      </c>
      <c r="D159" s="58" t="s">
        <v>269</v>
      </c>
      <c r="E159" s="58" t="s">
        <v>270</v>
      </c>
      <c r="F159" s="58" t="s">
        <v>266</v>
      </c>
      <c r="G159" s="58" t="s">
        <v>267</v>
      </c>
      <c r="H159" s="58" t="s">
        <v>265</v>
      </c>
      <c r="I159" s="58" t="s">
        <v>266</v>
      </c>
      <c r="J159" s="58" t="s">
        <v>267</v>
      </c>
      <c r="K159" s="58" t="s">
        <v>267</v>
      </c>
      <c r="L159" s="58" t="s">
        <v>269</v>
      </c>
      <c r="M159" s="58" t="s">
        <v>270</v>
      </c>
      <c r="N159" s="58" t="s">
        <v>267</v>
      </c>
      <c r="O159" s="1" t="s">
        <v>328</v>
      </c>
      <c r="P159" s="59" t="s">
        <v>275</v>
      </c>
      <c r="Q159" s="59" t="s">
        <v>295</v>
      </c>
      <c r="R159" s="59" t="s">
        <v>273</v>
      </c>
    </row>
    <row r="160" spans="2:18" s="4" customFormat="1" x14ac:dyDescent="0.15">
      <c r="B160" s="2" t="s">
        <v>329</v>
      </c>
      <c r="C160" s="58" t="s">
        <v>269</v>
      </c>
      <c r="D160" s="58" t="s">
        <v>265</v>
      </c>
      <c r="E160" s="58" t="s">
        <v>266</v>
      </c>
      <c r="F160" s="58" t="s">
        <v>267</v>
      </c>
      <c r="G160" s="58" t="s">
        <v>268</v>
      </c>
      <c r="H160" s="58" t="s">
        <v>239</v>
      </c>
      <c r="I160" s="58" t="s">
        <v>239</v>
      </c>
      <c r="J160" s="58" t="s">
        <v>267</v>
      </c>
      <c r="K160" s="58" t="s">
        <v>269</v>
      </c>
      <c r="L160" s="58" t="s">
        <v>270</v>
      </c>
      <c r="M160" s="58" t="s">
        <v>264</v>
      </c>
      <c r="N160" s="58" t="s">
        <v>267</v>
      </c>
      <c r="O160" s="1" t="s">
        <v>329</v>
      </c>
      <c r="P160" s="59" t="s">
        <v>278</v>
      </c>
      <c r="Q160" s="59" t="s">
        <v>298</v>
      </c>
      <c r="R160" s="59" t="s">
        <v>273</v>
      </c>
    </row>
    <row r="161" spans="2:18" s="4" customFormat="1" x14ac:dyDescent="0.15">
      <c r="B161" s="2" t="s">
        <v>330</v>
      </c>
      <c r="C161" s="58" t="s">
        <v>266</v>
      </c>
      <c r="D161" s="58" t="s">
        <v>267</v>
      </c>
      <c r="E161" s="58" t="s">
        <v>265</v>
      </c>
      <c r="F161" s="58" t="s">
        <v>266</v>
      </c>
      <c r="G161" s="58" t="s">
        <v>270</v>
      </c>
      <c r="H161" s="58" t="s">
        <v>267</v>
      </c>
      <c r="I161" s="58" t="s">
        <v>269</v>
      </c>
      <c r="J161" s="58" t="s">
        <v>270</v>
      </c>
      <c r="K161" s="58" t="s">
        <v>267</v>
      </c>
      <c r="L161" s="58" t="s">
        <v>267</v>
      </c>
      <c r="M161" s="58" t="s">
        <v>265</v>
      </c>
      <c r="N161" s="58" t="s">
        <v>266</v>
      </c>
      <c r="O161" s="1" t="s">
        <v>330</v>
      </c>
      <c r="P161" s="59" t="s">
        <v>281</v>
      </c>
      <c r="Q161" s="59" t="s">
        <v>301</v>
      </c>
      <c r="R161" s="59" t="s">
        <v>273</v>
      </c>
    </row>
    <row r="162" spans="2:18" s="4" customFormat="1" x14ac:dyDescent="0.15">
      <c r="B162" s="2" t="s">
        <v>331</v>
      </c>
      <c r="C162" s="58" t="s">
        <v>267</v>
      </c>
      <c r="D162" s="58" t="s">
        <v>269</v>
      </c>
      <c r="E162" s="58" t="s">
        <v>265</v>
      </c>
      <c r="F162" s="58" t="s">
        <v>266</v>
      </c>
      <c r="G162" s="58" t="s">
        <v>267</v>
      </c>
      <c r="H162" s="58" t="s">
        <v>268</v>
      </c>
      <c r="I162" s="58" t="s">
        <v>266</v>
      </c>
      <c r="J162" s="58" t="s">
        <v>239</v>
      </c>
      <c r="K162" s="58" t="s">
        <v>267</v>
      </c>
      <c r="L162" s="58" t="s">
        <v>269</v>
      </c>
      <c r="M162" s="58" t="s">
        <v>270</v>
      </c>
      <c r="N162" s="58" t="s">
        <v>264</v>
      </c>
      <c r="O162" s="1" t="s">
        <v>331</v>
      </c>
      <c r="P162" s="59" t="s">
        <v>284</v>
      </c>
      <c r="Q162" s="59" t="s">
        <v>303</v>
      </c>
      <c r="R162" s="59" t="s">
        <v>332</v>
      </c>
    </row>
    <row r="163" spans="2:18" s="4" customFormat="1" x14ac:dyDescent="0.15">
      <c r="B163" s="2" t="s">
        <v>333</v>
      </c>
      <c r="C163" s="58" t="s">
        <v>267</v>
      </c>
      <c r="D163" s="58" t="s">
        <v>269</v>
      </c>
      <c r="E163" s="58" t="s">
        <v>270</v>
      </c>
      <c r="F163" s="58" t="s">
        <v>267</v>
      </c>
      <c r="G163" s="58" t="s">
        <v>269</v>
      </c>
      <c r="H163" s="58" t="s">
        <v>265</v>
      </c>
      <c r="I163" s="58" t="s">
        <v>266</v>
      </c>
      <c r="J163" s="58" t="s">
        <v>267</v>
      </c>
      <c r="K163" s="58" t="s">
        <v>265</v>
      </c>
      <c r="L163" s="58" t="s">
        <v>266</v>
      </c>
      <c r="M163" s="58" t="s">
        <v>270</v>
      </c>
      <c r="N163" s="58" t="s">
        <v>267</v>
      </c>
      <c r="O163" s="1" t="s">
        <v>333</v>
      </c>
      <c r="P163" s="59" t="s">
        <v>288</v>
      </c>
      <c r="Q163" s="59" t="s">
        <v>305</v>
      </c>
      <c r="R163" s="59" t="s">
        <v>332</v>
      </c>
    </row>
    <row r="164" spans="2:18" s="4" customFormat="1" x14ac:dyDescent="0.15">
      <c r="B164" s="2" t="s">
        <v>334</v>
      </c>
      <c r="C164" s="58" t="s">
        <v>267</v>
      </c>
      <c r="D164" s="58" t="s">
        <v>269</v>
      </c>
      <c r="E164" s="58" t="s">
        <v>270</v>
      </c>
      <c r="F164" s="58" t="s">
        <v>266</v>
      </c>
      <c r="G164" s="58" t="s">
        <v>267</v>
      </c>
      <c r="H164" s="58" t="s">
        <v>268</v>
      </c>
      <c r="I164" s="58" t="s">
        <v>266</v>
      </c>
      <c r="J164" s="58" t="s">
        <v>267</v>
      </c>
      <c r="K164" s="58" t="s">
        <v>267</v>
      </c>
      <c r="L164" s="58" t="s">
        <v>269</v>
      </c>
      <c r="M164" s="58" t="s">
        <v>270</v>
      </c>
      <c r="N164" s="58" t="s">
        <v>264</v>
      </c>
      <c r="O164" s="1" t="s">
        <v>334</v>
      </c>
      <c r="P164" s="59" t="s">
        <v>291</v>
      </c>
      <c r="Q164" s="59" t="s">
        <v>272</v>
      </c>
      <c r="R164" s="59" t="s">
        <v>273</v>
      </c>
    </row>
    <row r="165" spans="2:18" s="4" customFormat="1" x14ac:dyDescent="0.15">
      <c r="B165" s="2" t="s">
        <v>335</v>
      </c>
      <c r="C165" s="58" t="s">
        <v>270</v>
      </c>
      <c r="D165" s="58" t="s">
        <v>266</v>
      </c>
      <c r="E165" s="58" t="s">
        <v>267</v>
      </c>
      <c r="F165" s="58" t="s">
        <v>265</v>
      </c>
      <c r="G165" s="58" t="s">
        <v>266</v>
      </c>
      <c r="H165" s="58" t="s">
        <v>267</v>
      </c>
      <c r="I165" s="58" t="s">
        <v>267</v>
      </c>
      <c r="J165" s="58" t="s">
        <v>269</v>
      </c>
      <c r="K165" s="58" t="s">
        <v>270</v>
      </c>
      <c r="L165" s="58" t="s">
        <v>267</v>
      </c>
      <c r="M165" s="58" t="s">
        <v>269</v>
      </c>
      <c r="N165" s="58" t="s">
        <v>265</v>
      </c>
      <c r="O165" s="1" t="s">
        <v>335</v>
      </c>
      <c r="P165" s="59" t="s">
        <v>294</v>
      </c>
      <c r="Q165" s="59" t="s">
        <v>276</v>
      </c>
      <c r="R165" s="59" t="s">
        <v>273</v>
      </c>
    </row>
    <row r="166" spans="2:18" s="4" customFormat="1" x14ac:dyDescent="0.15">
      <c r="B166" s="2" t="s">
        <v>336</v>
      </c>
      <c r="C166" s="58" t="s">
        <v>265</v>
      </c>
      <c r="D166" s="58" t="s">
        <v>266</v>
      </c>
      <c r="E166" s="58" t="s">
        <v>267</v>
      </c>
      <c r="F166" s="58" t="s">
        <v>268</v>
      </c>
      <c r="G166" s="58" t="s">
        <v>269</v>
      </c>
      <c r="H166" s="58" t="s">
        <v>270</v>
      </c>
      <c r="I166" s="58" t="s">
        <v>267</v>
      </c>
      <c r="J166" s="58" t="s">
        <v>269</v>
      </c>
      <c r="K166" s="58" t="s">
        <v>270</v>
      </c>
      <c r="L166" s="58" t="s">
        <v>266</v>
      </c>
      <c r="M166" s="58" t="s">
        <v>267</v>
      </c>
      <c r="N166" s="58" t="s">
        <v>268</v>
      </c>
      <c r="O166" s="1" t="s">
        <v>336</v>
      </c>
      <c r="P166" s="59" t="s">
        <v>297</v>
      </c>
      <c r="Q166" s="59" t="s">
        <v>279</v>
      </c>
      <c r="R166" s="59" t="s">
        <v>273</v>
      </c>
    </row>
    <row r="167" spans="2:18" s="4" customFormat="1" x14ac:dyDescent="0.15">
      <c r="B167" s="2" t="s">
        <v>337</v>
      </c>
      <c r="C167" s="58" t="s">
        <v>265</v>
      </c>
      <c r="D167" s="58" t="s">
        <v>266</v>
      </c>
      <c r="E167" s="58" t="s">
        <v>270</v>
      </c>
      <c r="F167" s="58" t="s">
        <v>267</v>
      </c>
      <c r="G167" s="58" t="s">
        <v>269</v>
      </c>
      <c r="H167" s="58" t="s">
        <v>270</v>
      </c>
      <c r="I167" s="58" t="s">
        <v>267</v>
      </c>
      <c r="J167" s="58" t="s">
        <v>267</v>
      </c>
      <c r="K167" s="58" t="s">
        <v>265</v>
      </c>
      <c r="L167" s="58" t="s">
        <v>266</v>
      </c>
      <c r="M167" s="58" t="s">
        <v>267</v>
      </c>
      <c r="N167" s="58" t="s">
        <v>265</v>
      </c>
      <c r="O167" s="1" t="s">
        <v>337</v>
      </c>
      <c r="P167" s="59" t="s">
        <v>300</v>
      </c>
      <c r="Q167" s="59" t="s">
        <v>282</v>
      </c>
      <c r="R167" s="59" t="s">
        <v>273</v>
      </c>
    </row>
    <row r="168" spans="2:18" s="4" customFormat="1" x14ac:dyDescent="0.15">
      <c r="B168" s="2" t="s">
        <v>338</v>
      </c>
      <c r="C168" s="58" t="s">
        <v>267</v>
      </c>
      <c r="D168" s="58" t="s">
        <v>267</v>
      </c>
      <c r="E168" s="58" t="s">
        <v>239</v>
      </c>
      <c r="F168" s="58" t="s">
        <v>267</v>
      </c>
      <c r="G168" s="58" t="s">
        <v>269</v>
      </c>
      <c r="H168" s="58" t="s">
        <v>265</v>
      </c>
      <c r="I168" s="58" t="s">
        <v>270</v>
      </c>
      <c r="J168" s="58" t="s">
        <v>264</v>
      </c>
      <c r="K168" s="58" t="s">
        <v>265</v>
      </c>
      <c r="L168" s="58" t="s">
        <v>266</v>
      </c>
      <c r="M168" s="58" t="s">
        <v>239</v>
      </c>
      <c r="N168" s="58" t="s">
        <v>267</v>
      </c>
      <c r="O168" s="1" t="s">
        <v>338</v>
      </c>
      <c r="P168" s="59" t="s">
        <v>271</v>
      </c>
      <c r="Q168" s="59" t="s">
        <v>285</v>
      </c>
      <c r="R168" s="59" t="s">
        <v>273</v>
      </c>
    </row>
    <row r="169" spans="2:18" s="4" customFormat="1" x14ac:dyDescent="0.15">
      <c r="B169" s="2" t="s">
        <v>339</v>
      </c>
      <c r="C169" s="58" t="s">
        <v>267</v>
      </c>
      <c r="D169" s="58" t="s">
        <v>266</v>
      </c>
      <c r="E169" s="58" t="s">
        <v>270</v>
      </c>
      <c r="F169" s="58" t="s">
        <v>270</v>
      </c>
      <c r="G169" s="58" t="s">
        <v>267</v>
      </c>
      <c r="H169" s="58" t="s">
        <v>269</v>
      </c>
      <c r="I169" s="58" t="s">
        <v>270</v>
      </c>
      <c r="J169" s="58" t="s">
        <v>267</v>
      </c>
      <c r="K169" s="58" t="s">
        <v>267</v>
      </c>
      <c r="L169" s="58" t="s">
        <v>265</v>
      </c>
      <c r="M169" s="58" t="s">
        <v>266</v>
      </c>
      <c r="N169" s="58" t="s">
        <v>267</v>
      </c>
      <c r="O169" s="1" t="s">
        <v>339</v>
      </c>
      <c r="P169" s="59" t="s">
        <v>275</v>
      </c>
      <c r="Q169" s="59" t="s">
        <v>289</v>
      </c>
      <c r="R169" s="59" t="s">
        <v>273</v>
      </c>
    </row>
    <row r="170" spans="2:18" s="4" customFormat="1" x14ac:dyDescent="0.15">
      <c r="B170" s="2" t="s">
        <v>340</v>
      </c>
      <c r="C170" s="58" t="s">
        <v>270</v>
      </c>
      <c r="D170" s="58" t="s">
        <v>266</v>
      </c>
      <c r="E170" s="58" t="s">
        <v>267</v>
      </c>
      <c r="F170" s="58" t="s">
        <v>264</v>
      </c>
      <c r="G170" s="58" t="s">
        <v>239</v>
      </c>
      <c r="H170" s="58" t="s">
        <v>267</v>
      </c>
      <c r="I170" s="58" t="s">
        <v>267</v>
      </c>
      <c r="J170" s="58" t="s">
        <v>269</v>
      </c>
      <c r="K170" s="58" t="s">
        <v>270</v>
      </c>
      <c r="L170" s="58" t="s">
        <v>264</v>
      </c>
      <c r="M170" s="58" t="s">
        <v>265</v>
      </c>
      <c r="N170" s="58" t="s">
        <v>268</v>
      </c>
      <c r="O170" s="1" t="s">
        <v>340</v>
      </c>
      <c r="P170" s="59" t="s">
        <v>278</v>
      </c>
      <c r="Q170" s="59" t="s">
        <v>292</v>
      </c>
      <c r="R170" s="59" t="s">
        <v>341</v>
      </c>
    </row>
    <row r="171" spans="2:18" s="4" customFormat="1" x14ac:dyDescent="0.15">
      <c r="B171" s="2" t="s">
        <v>342</v>
      </c>
      <c r="C171" s="58" t="s">
        <v>267</v>
      </c>
      <c r="D171" s="58" t="s">
        <v>269</v>
      </c>
      <c r="E171" s="58" t="s">
        <v>270</v>
      </c>
      <c r="F171" s="58" t="s">
        <v>267</v>
      </c>
      <c r="G171" s="58" t="s">
        <v>267</v>
      </c>
      <c r="H171" s="58" t="s">
        <v>265</v>
      </c>
      <c r="I171" s="58" t="s">
        <v>266</v>
      </c>
      <c r="J171" s="58" t="s">
        <v>267</v>
      </c>
      <c r="K171" s="58" t="s">
        <v>265</v>
      </c>
      <c r="L171" s="58" t="s">
        <v>269</v>
      </c>
      <c r="M171" s="58" t="s">
        <v>270</v>
      </c>
      <c r="N171" s="58" t="s">
        <v>267</v>
      </c>
      <c r="O171" s="1" t="s">
        <v>342</v>
      </c>
      <c r="P171" s="59" t="s">
        <v>281</v>
      </c>
      <c r="Q171" s="59" t="s">
        <v>295</v>
      </c>
      <c r="R171" s="59" t="s">
        <v>273</v>
      </c>
    </row>
    <row r="172" spans="2:18" s="4" customFormat="1" x14ac:dyDescent="0.15">
      <c r="B172" s="2" t="s">
        <v>343</v>
      </c>
      <c r="C172" s="58" t="s">
        <v>266</v>
      </c>
      <c r="D172" s="58" t="s">
        <v>267</v>
      </c>
      <c r="E172" s="58" t="s">
        <v>267</v>
      </c>
      <c r="F172" s="58" t="s">
        <v>269</v>
      </c>
      <c r="G172" s="58" t="s">
        <v>270</v>
      </c>
      <c r="H172" s="58" t="s">
        <v>264</v>
      </c>
      <c r="I172" s="58" t="s">
        <v>269</v>
      </c>
      <c r="J172" s="58" t="s">
        <v>265</v>
      </c>
      <c r="K172" s="58" t="s">
        <v>266</v>
      </c>
      <c r="L172" s="58" t="s">
        <v>267</v>
      </c>
      <c r="M172" s="58" t="s">
        <v>268</v>
      </c>
      <c r="N172" s="58" t="s">
        <v>239</v>
      </c>
      <c r="O172" s="1" t="s">
        <v>343</v>
      </c>
      <c r="P172" s="59" t="s">
        <v>284</v>
      </c>
      <c r="Q172" s="59" t="s">
        <v>298</v>
      </c>
      <c r="R172" s="59" t="s">
        <v>344</v>
      </c>
    </row>
    <row r="173" spans="2:18" s="4" customFormat="1" x14ac:dyDescent="0.15">
      <c r="B173" s="2" t="s">
        <v>345</v>
      </c>
      <c r="C173" s="58" t="s">
        <v>270</v>
      </c>
      <c r="D173" s="58" t="s">
        <v>267</v>
      </c>
      <c r="E173" s="58" t="s">
        <v>269</v>
      </c>
      <c r="F173" s="58" t="s">
        <v>270</v>
      </c>
      <c r="G173" s="58" t="s">
        <v>267</v>
      </c>
      <c r="H173" s="58" t="s">
        <v>267</v>
      </c>
      <c r="I173" s="58" t="s">
        <v>265</v>
      </c>
      <c r="J173" s="58" t="s">
        <v>266</v>
      </c>
      <c r="K173" s="58" t="s">
        <v>267</v>
      </c>
      <c r="L173" s="58" t="s">
        <v>265</v>
      </c>
      <c r="M173" s="58" t="s">
        <v>269</v>
      </c>
      <c r="N173" s="58" t="s">
        <v>270</v>
      </c>
      <c r="O173" s="1" t="s">
        <v>345</v>
      </c>
      <c r="P173" s="59" t="s">
        <v>288</v>
      </c>
      <c r="Q173" s="59" t="s">
        <v>301</v>
      </c>
      <c r="R173" s="59" t="s">
        <v>311</v>
      </c>
    </row>
    <row r="174" spans="2:18" s="4" customFormat="1" x14ac:dyDescent="0.15">
      <c r="B174" s="2" t="s">
        <v>346</v>
      </c>
      <c r="C174" s="58" t="s">
        <v>264</v>
      </c>
      <c r="D174" s="58" t="s">
        <v>265</v>
      </c>
      <c r="E174" s="58" t="s">
        <v>266</v>
      </c>
      <c r="F174" s="58" t="s">
        <v>239</v>
      </c>
      <c r="G174" s="58" t="s">
        <v>267</v>
      </c>
      <c r="H174" s="58" t="s">
        <v>269</v>
      </c>
      <c r="I174" s="58" t="s">
        <v>239</v>
      </c>
      <c r="J174" s="58" t="s">
        <v>267</v>
      </c>
      <c r="K174" s="58" t="s">
        <v>264</v>
      </c>
      <c r="L174" s="58" t="s">
        <v>265</v>
      </c>
      <c r="M174" s="58" t="s">
        <v>266</v>
      </c>
      <c r="N174" s="58" t="s">
        <v>267</v>
      </c>
      <c r="O174" s="1" t="s">
        <v>346</v>
      </c>
      <c r="P174" s="59" t="s">
        <v>291</v>
      </c>
      <c r="Q174" s="59" t="s">
        <v>303</v>
      </c>
      <c r="R174" s="59" t="s">
        <v>273</v>
      </c>
    </row>
    <row r="175" spans="2:18" s="4" customFormat="1" x14ac:dyDescent="0.15">
      <c r="B175" s="2" t="s">
        <v>347</v>
      </c>
      <c r="C175" s="58" t="s">
        <v>266</v>
      </c>
      <c r="D175" s="58" t="s">
        <v>270</v>
      </c>
      <c r="E175" s="58" t="s">
        <v>267</v>
      </c>
      <c r="F175" s="58" t="s">
        <v>269</v>
      </c>
      <c r="G175" s="58" t="s">
        <v>270</v>
      </c>
      <c r="H175" s="58" t="s">
        <v>267</v>
      </c>
      <c r="I175" s="58" t="s">
        <v>267</v>
      </c>
      <c r="J175" s="58" t="s">
        <v>265</v>
      </c>
      <c r="K175" s="58" t="s">
        <v>266</v>
      </c>
      <c r="L175" s="58" t="s">
        <v>267</v>
      </c>
      <c r="M175" s="58" t="s">
        <v>265</v>
      </c>
      <c r="N175" s="58" t="s">
        <v>269</v>
      </c>
      <c r="O175" s="1" t="s">
        <v>347</v>
      </c>
      <c r="P175" s="59" t="s">
        <v>294</v>
      </c>
      <c r="Q175" s="59" t="s">
        <v>305</v>
      </c>
      <c r="R175" s="59" t="s">
        <v>273</v>
      </c>
    </row>
    <row r="176" spans="2:18" s="4" customFormat="1" x14ac:dyDescent="0.15">
      <c r="B176" s="2" t="s">
        <v>348</v>
      </c>
      <c r="C176" s="58" t="s">
        <v>267</v>
      </c>
      <c r="D176" s="58" t="s">
        <v>269</v>
      </c>
      <c r="E176" s="58" t="s">
        <v>270</v>
      </c>
      <c r="F176" s="58" t="s">
        <v>264</v>
      </c>
      <c r="G176" s="58" t="s">
        <v>267</v>
      </c>
      <c r="H176" s="58" t="s">
        <v>268</v>
      </c>
      <c r="I176" s="58" t="s">
        <v>266</v>
      </c>
      <c r="J176" s="58" t="s">
        <v>267</v>
      </c>
      <c r="K176" s="58" t="s">
        <v>268</v>
      </c>
      <c r="L176" s="58" t="s">
        <v>270</v>
      </c>
      <c r="M176" s="58" t="s">
        <v>269</v>
      </c>
      <c r="N176" s="58" t="s">
        <v>264</v>
      </c>
      <c r="O176" s="1" t="s">
        <v>348</v>
      </c>
      <c r="P176" s="59" t="s">
        <v>297</v>
      </c>
      <c r="Q176" s="59" t="s">
        <v>272</v>
      </c>
      <c r="R176" s="59" t="s">
        <v>349</v>
      </c>
    </row>
    <row r="177" spans="2:18" s="4" customFormat="1" x14ac:dyDescent="0.15">
      <c r="B177" s="2" t="s">
        <v>350</v>
      </c>
      <c r="C177" s="58" t="s">
        <v>267</v>
      </c>
      <c r="D177" s="58" t="s">
        <v>265</v>
      </c>
      <c r="E177" s="58" t="s">
        <v>269</v>
      </c>
      <c r="F177" s="58" t="s">
        <v>270</v>
      </c>
      <c r="G177" s="58" t="s">
        <v>267</v>
      </c>
      <c r="H177" s="58" t="s">
        <v>269</v>
      </c>
      <c r="I177" s="58" t="s">
        <v>270</v>
      </c>
      <c r="J177" s="58" t="s">
        <v>266</v>
      </c>
      <c r="K177" s="58" t="s">
        <v>267</v>
      </c>
      <c r="L177" s="58" t="s">
        <v>265</v>
      </c>
      <c r="M177" s="58" t="s">
        <v>266</v>
      </c>
      <c r="N177" s="58" t="s">
        <v>267</v>
      </c>
      <c r="O177" s="1" t="s">
        <v>350</v>
      </c>
      <c r="P177" s="59" t="s">
        <v>300</v>
      </c>
      <c r="Q177" s="59" t="s">
        <v>276</v>
      </c>
      <c r="R177" s="59" t="s">
        <v>273</v>
      </c>
    </row>
    <row r="178" spans="2:18" s="4" customFormat="1" x14ac:dyDescent="0.15">
      <c r="B178" s="2" t="s">
        <v>351</v>
      </c>
      <c r="C178" s="58" t="s">
        <v>268</v>
      </c>
      <c r="D178" s="58" t="s">
        <v>239</v>
      </c>
      <c r="E178" s="58" t="s">
        <v>267</v>
      </c>
      <c r="F178" s="58" t="s">
        <v>269</v>
      </c>
      <c r="G178" s="58" t="s">
        <v>270</v>
      </c>
      <c r="H178" s="58" t="s">
        <v>266</v>
      </c>
      <c r="I178" s="58" t="s">
        <v>264</v>
      </c>
      <c r="J178" s="58" t="s">
        <v>265</v>
      </c>
      <c r="K178" s="58" t="s">
        <v>266</v>
      </c>
      <c r="L178" s="58" t="s">
        <v>267</v>
      </c>
      <c r="M178" s="58" t="s">
        <v>267</v>
      </c>
      <c r="N178" s="58" t="s">
        <v>269</v>
      </c>
      <c r="O178" s="1" t="s">
        <v>351</v>
      </c>
      <c r="P178" s="59" t="s">
        <v>271</v>
      </c>
      <c r="Q178" s="59" t="s">
        <v>279</v>
      </c>
      <c r="R178" s="59" t="s">
        <v>273</v>
      </c>
    </row>
    <row r="179" spans="2:18" s="4" customFormat="1" x14ac:dyDescent="0.15">
      <c r="B179" s="2" t="s">
        <v>352</v>
      </c>
      <c r="C179" s="58" t="s">
        <v>269</v>
      </c>
      <c r="D179" s="58" t="s">
        <v>270</v>
      </c>
      <c r="E179" s="58" t="s">
        <v>267</v>
      </c>
      <c r="F179" s="58" t="s">
        <v>267</v>
      </c>
      <c r="G179" s="58" t="s">
        <v>265</v>
      </c>
      <c r="H179" s="58" t="s">
        <v>266</v>
      </c>
      <c r="I179" s="58" t="s">
        <v>267</v>
      </c>
      <c r="J179" s="58" t="s">
        <v>265</v>
      </c>
      <c r="K179" s="58" t="s">
        <v>269</v>
      </c>
      <c r="L179" s="58" t="s">
        <v>270</v>
      </c>
      <c r="M179" s="58" t="s">
        <v>267</v>
      </c>
      <c r="N179" s="58" t="s">
        <v>269</v>
      </c>
      <c r="O179" s="1" t="s">
        <v>352</v>
      </c>
      <c r="P179" s="59" t="s">
        <v>275</v>
      </c>
      <c r="Q179" s="59" t="s">
        <v>282</v>
      </c>
      <c r="R179" s="59" t="s">
        <v>353</v>
      </c>
    </row>
    <row r="180" spans="2:18" s="4" customFormat="1" x14ac:dyDescent="0.15">
      <c r="B180" s="2" t="s">
        <v>354</v>
      </c>
      <c r="C180" s="58" t="s">
        <v>266</v>
      </c>
      <c r="D180" s="58" t="s">
        <v>239</v>
      </c>
      <c r="E180" s="58" t="s">
        <v>267</v>
      </c>
      <c r="F180" s="58" t="s">
        <v>269</v>
      </c>
      <c r="G180" s="58" t="s">
        <v>270</v>
      </c>
      <c r="H180" s="58" t="s">
        <v>265</v>
      </c>
      <c r="I180" s="58" t="s">
        <v>264</v>
      </c>
      <c r="J180" s="58" t="s">
        <v>265</v>
      </c>
      <c r="K180" s="58" t="s">
        <v>266</v>
      </c>
      <c r="L180" s="58" t="s">
        <v>267</v>
      </c>
      <c r="M180" s="58" t="s">
        <v>268</v>
      </c>
      <c r="N180" s="58" t="s">
        <v>269</v>
      </c>
      <c r="O180" s="1" t="s">
        <v>354</v>
      </c>
      <c r="P180" s="59" t="s">
        <v>278</v>
      </c>
      <c r="Q180" s="59" t="s">
        <v>285</v>
      </c>
      <c r="R180" s="59" t="s">
        <v>273</v>
      </c>
    </row>
    <row r="181" spans="2:18" s="4" customFormat="1" x14ac:dyDescent="0.15">
      <c r="B181" s="2" t="s">
        <v>355</v>
      </c>
      <c r="C181" s="58" t="s">
        <v>267</v>
      </c>
      <c r="D181" s="58" t="s">
        <v>265</v>
      </c>
      <c r="E181" s="58" t="s">
        <v>266</v>
      </c>
      <c r="F181" s="58" t="s">
        <v>267</v>
      </c>
      <c r="G181" s="58" t="s">
        <v>267</v>
      </c>
      <c r="H181" s="58" t="s">
        <v>269</v>
      </c>
      <c r="I181" s="58" t="s">
        <v>270</v>
      </c>
      <c r="J181" s="58" t="s">
        <v>267</v>
      </c>
      <c r="K181" s="58" t="s">
        <v>269</v>
      </c>
      <c r="L181" s="58" t="s">
        <v>265</v>
      </c>
      <c r="M181" s="58" t="s">
        <v>266</v>
      </c>
      <c r="N181" s="58" t="s">
        <v>267</v>
      </c>
      <c r="O181" s="1" t="s">
        <v>355</v>
      </c>
      <c r="P181" s="59" t="s">
        <v>281</v>
      </c>
      <c r="Q181" s="59" t="s">
        <v>289</v>
      </c>
      <c r="R181" s="59" t="s">
        <v>273</v>
      </c>
    </row>
    <row r="182" spans="2:18" s="4" customFormat="1" x14ac:dyDescent="0.15">
      <c r="B182" s="2" t="s">
        <v>356</v>
      </c>
      <c r="C182" s="58" t="s">
        <v>267</v>
      </c>
      <c r="D182" s="58" t="s">
        <v>268</v>
      </c>
      <c r="E182" s="58" t="s">
        <v>269</v>
      </c>
      <c r="F182" s="58" t="s">
        <v>270</v>
      </c>
      <c r="G182" s="58" t="s">
        <v>264</v>
      </c>
      <c r="H182" s="58" t="s">
        <v>265</v>
      </c>
      <c r="I182" s="58" t="s">
        <v>270</v>
      </c>
      <c r="J182" s="58" t="s">
        <v>266</v>
      </c>
      <c r="K182" s="58" t="s">
        <v>267</v>
      </c>
      <c r="L182" s="58" t="s">
        <v>268</v>
      </c>
      <c r="M182" s="58" t="s">
        <v>239</v>
      </c>
      <c r="N182" s="58" t="s">
        <v>267</v>
      </c>
      <c r="O182" s="1" t="s">
        <v>356</v>
      </c>
      <c r="P182" s="59" t="s">
        <v>284</v>
      </c>
      <c r="Q182" s="59" t="s">
        <v>292</v>
      </c>
      <c r="R182" s="59" t="s">
        <v>357</v>
      </c>
    </row>
    <row r="183" spans="2:18" s="4" customFormat="1" x14ac:dyDescent="0.15">
      <c r="B183" s="2" t="s">
        <v>358</v>
      </c>
      <c r="C183" s="58" t="s">
        <v>267</v>
      </c>
      <c r="D183" s="58" t="s">
        <v>265</v>
      </c>
      <c r="E183" s="58" t="s">
        <v>266</v>
      </c>
      <c r="F183" s="58" t="s">
        <v>267</v>
      </c>
      <c r="G183" s="58" t="s">
        <v>265</v>
      </c>
      <c r="H183" s="58" t="s">
        <v>269</v>
      </c>
      <c r="I183" s="58" t="s">
        <v>270</v>
      </c>
      <c r="J183" s="58" t="s">
        <v>267</v>
      </c>
      <c r="K183" s="58" t="s">
        <v>269</v>
      </c>
      <c r="L183" s="58" t="s">
        <v>270</v>
      </c>
      <c r="M183" s="58" t="s">
        <v>266</v>
      </c>
      <c r="N183" s="58" t="s">
        <v>267</v>
      </c>
      <c r="O183" s="1" t="s">
        <v>358</v>
      </c>
      <c r="P183" s="59" t="s">
        <v>288</v>
      </c>
      <c r="Q183" s="59" t="s">
        <v>295</v>
      </c>
      <c r="R183" s="59" t="s">
        <v>344</v>
      </c>
    </row>
    <row r="184" spans="2:18" s="4" customFormat="1" x14ac:dyDescent="0.15">
      <c r="B184" s="2" t="s">
        <v>359</v>
      </c>
      <c r="C184" s="58" t="s">
        <v>239</v>
      </c>
      <c r="D184" s="58" t="s">
        <v>267</v>
      </c>
      <c r="E184" s="58" t="s">
        <v>269</v>
      </c>
      <c r="F184" s="58" t="s">
        <v>270</v>
      </c>
      <c r="G184" s="58" t="s">
        <v>266</v>
      </c>
      <c r="H184" s="58" t="s">
        <v>267</v>
      </c>
      <c r="I184" s="58" t="s">
        <v>265</v>
      </c>
      <c r="J184" s="58" t="s">
        <v>266</v>
      </c>
      <c r="K184" s="58" t="s">
        <v>239</v>
      </c>
      <c r="L184" s="58" t="s">
        <v>267</v>
      </c>
      <c r="M184" s="58" t="s">
        <v>269</v>
      </c>
      <c r="N184" s="58" t="s">
        <v>270</v>
      </c>
      <c r="O184" s="1" t="s">
        <v>359</v>
      </c>
      <c r="P184" s="59" t="s">
        <v>291</v>
      </c>
      <c r="Q184" s="59" t="s">
        <v>298</v>
      </c>
      <c r="R184" s="59" t="s">
        <v>273</v>
      </c>
    </row>
    <row r="185" spans="2:18" s="4" customFormat="1" x14ac:dyDescent="0.15">
      <c r="B185" s="2" t="s">
        <v>360</v>
      </c>
      <c r="C185" s="58" t="s">
        <v>265</v>
      </c>
      <c r="D185" s="58" t="s">
        <v>269</v>
      </c>
      <c r="E185" s="58" t="s">
        <v>270</v>
      </c>
      <c r="F185" s="58" t="s">
        <v>267</v>
      </c>
      <c r="G185" s="58" t="s">
        <v>269</v>
      </c>
      <c r="H185" s="58" t="s">
        <v>270</v>
      </c>
      <c r="I185" s="58" t="s">
        <v>266</v>
      </c>
      <c r="J185" s="58" t="s">
        <v>267</v>
      </c>
      <c r="K185" s="58" t="s">
        <v>265</v>
      </c>
      <c r="L185" s="58" t="s">
        <v>266</v>
      </c>
      <c r="M185" s="58" t="s">
        <v>267</v>
      </c>
      <c r="N185" s="58" t="s">
        <v>267</v>
      </c>
      <c r="O185" s="1" t="s">
        <v>360</v>
      </c>
      <c r="P185" s="59" t="s">
        <v>294</v>
      </c>
      <c r="Q185" s="59" t="s">
        <v>301</v>
      </c>
      <c r="R185" s="59" t="s">
        <v>361</v>
      </c>
    </row>
    <row r="186" spans="2:18" s="4" customFormat="1" x14ac:dyDescent="0.15">
      <c r="B186" s="2" t="s">
        <v>362</v>
      </c>
      <c r="C186" s="58" t="s">
        <v>264</v>
      </c>
      <c r="D186" s="58" t="s">
        <v>265</v>
      </c>
      <c r="E186" s="58" t="s">
        <v>266</v>
      </c>
      <c r="F186" s="58" t="s">
        <v>267</v>
      </c>
      <c r="G186" s="58" t="s">
        <v>267</v>
      </c>
      <c r="H186" s="58" t="s">
        <v>269</v>
      </c>
      <c r="I186" s="58" t="s">
        <v>239</v>
      </c>
      <c r="J186" s="58" t="s">
        <v>267</v>
      </c>
      <c r="K186" s="58" t="s">
        <v>269</v>
      </c>
      <c r="L186" s="58" t="s">
        <v>265</v>
      </c>
      <c r="M186" s="58" t="s">
        <v>266</v>
      </c>
      <c r="N186" s="58" t="s">
        <v>267</v>
      </c>
      <c r="O186" s="1" t="s">
        <v>362</v>
      </c>
      <c r="P186" s="59" t="s">
        <v>297</v>
      </c>
      <c r="Q186" s="59" t="s">
        <v>303</v>
      </c>
      <c r="R186" s="59" t="s">
        <v>273</v>
      </c>
    </row>
    <row r="187" spans="2:18" s="4" customFormat="1" x14ac:dyDescent="0.15">
      <c r="B187" s="2" t="s">
        <v>363</v>
      </c>
      <c r="C187" s="58" t="s">
        <v>267</v>
      </c>
      <c r="D187" s="58" t="s">
        <v>269</v>
      </c>
      <c r="E187" s="58" t="s">
        <v>265</v>
      </c>
      <c r="F187" s="58" t="s">
        <v>266</v>
      </c>
      <c r="G187" s="58" t="s">
        <v>267</v>
      </c>
      <c r="H187" s="58" t="s">
        <v>265</v>
      </c>
      <c r="I187" s="58" t="s">
        <v>266</v>
      </c>
      <c r="J187" s="58" t="s">
        <v>270</v>
      </c>
      <c r="K187" s="58" t="s">
        <v>267</v>
      </c>
      <c r="L187" s="58" t="s">
        <v>269</v>
      </c>
      <c r="M187" s="58" t="s">
        <v>270</v>
      </c>
      <c r="N187" s="58" t="s">
        <v>267</v>
      </c>
      <c r="O187" s="1" t="s">
        <v>363</v>
      </c>
      <c r="P187" s="59" t="s">
        <v>300</v>
      </c>
      <c r="Q187" s="59" t="s">
        <v>305</v>
      </c>
      <c r="R187" s="59" t="s">
        <v>273</v>
      </c>
    </row>
    <row r="188" spans="2:18" s="4" customFormat="1" x14ac:dyDescent="0.15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2:18" s="4" customFormat="1" x14ac:dyDescent="0.15">
      <c r="B189" s="2" t="s">
        <v>364</v>
      </c>
      <c r="C189" s="58" t="str">
        <f>INDEX(C128:N187,MATCH((E103&amp;E104),B128:B187,0),MATCH(D104,C127:N127,0))</f>
        <v>Ki6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79" t="s">
        <v>365</v>
      </c>
      <c r="P189" s="1" t="s">
        <v>366</v>
      </c>
      <c r="Q189" s="78" t="str">
        <f>VLOOKUP(E103&amp;E104,O128:R187,2,FALSE)</f>
        <v>SI - R</v>
      </c>
      <c r="R189" s="23"/>
    </row>
    <row r="190" spans="2:18" s="4" customFormat="1" ht="14" x14ac:dyDescent="0.2">
      <c r="B190" s="21" t="str">
        <f>VLOOKUP(C189,B193:D200,1,FALSE)&amp;" ("&amp;VLOOKUP(C189,B193:D200,2,FALSE)&amp;") open "&amp;VLOOKUP(C189,B193:D200,3,FALSE)</f>
        <v>Ki6 (Lu7) open Yin Qiao Mai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 t="s">
        <v>367</v>
      </c>
      <c r="Q190" s="78" t="str">
        <f>VLOOKUP(E103&amp;E104,O128:R187,3,FALSE)</f>
        <v>ST - L</v>
      </c>
      <c r="R190" s="23"/>
    </row>
    <row r="191" spans="2:18" x14ac:dyDescent="0.15">
      <c r="N191" s="89" t="str">
        <f>VLOOKUP(F22,B38:N49,12,FALSE)</f>
        <v>Summer</v>
      </c>
      <c r="O191" s="90" t="s">
        <v>368</v>
      </c>
      <c r="P191" s="1" t="s">
        <v>369</v>
      </c>
      <c r="Q191" s="78" t="str">
        <f>VLOOKUP(F22,B38:N49,13,FALSE)</f>
        <v>3 leg yang right (GB)</v>
      </c>
    </row>
    <row r="192" spans="2:18" x14ac:dyDescent="0.15">
      <c r="O192" s="1"/>
      <c r="P192" s="1" t="s">
        <v>370</v>
      </c>
      <c r="Q192" s="78" t="str">
        <f>VLOOKUP(E103&amp;E104,O128:R187,4,FALSE)</f>
        <v>Fu / L hand</v>
      </c>
    </row>
    <row r="193" spans="1:16" x14ac:dyDescent="0.15">
      <c r="B193" s="23" t="s">
        <v>239</v>
      </c>
      <c r="C193" s="23" t="s">
        <v>270</v>
      </c>
      <c r="D193" s="23" t="s">
        <v>371</v>
      </c>
      <c r="O193" s="79"/>
      <c r="P193" s="1"/>
    </row>
    <row r="194" spans="1:16" x14ac:dyDescent="0.15">
      <c r="B194" s="23" t="s">
        <v>372</v>
      </c>
      <c r="C194" s="23" t="s">
        <v>239</v>
      </c>
      <c r="D194" s="23" t="s">
        <v>373</v>
      </c>
      <c r="O194" s="1"/>
    </row>
    <row r="195" spans="1:16" x14ac:dyDescent="0.15">
      <c r="B195" s="23" t="s">
        <v>268</v>
      </c>
      <c r="C195" s="23" t="s">
        <v>267</v>
      </c>
      <c r="D195" s="23" t="s">
        <v>374</v>
      </c>
    </row>
    <row r="196" spans="1:16" x14ac:dyDescent="0.15">
      <c r="B196" s="23" t="s">
        <v>267</v>
      </c>
      <c r="C196" s="23" t="s">
        <v>268</v>
      </c>
      <c r="D196" s="23" t="s">
        <v>375</v>
      </c>
    </row>
    <row r="197" spans="1:16" x14ac:dyDescent="0.15">
      <c r="B197" s="23" t="s">
        <v>265</v>
      </c>
      <c r="C197" s="23" t="s">
        <v>264</v>
      </c>
      <c r="D197" s="23" t="s">
        <v>376</v>
      </c>
    </row>
    <row r="198" spans="1:16" x14ac:dyDescent="0.15">
      <c r="B198" s="23" t="s">
        <v>264</v>
      </c>
      <c r="C198" s="23" t="s">
        <v>265</v>
      </c>
      <c r="D198" s="23" t="s">
        <v>377</v>
      </c>
    </row>
    <row r="199" spans="1:16" x14ac:dyDescent="0.15">
      <c r="B199" s="23" t="s">
        <v>266</v>
      </c>
      <c r="C199" s="23" t="s">
        <v>269</v>
      </c>
      <c r="D199" s="23" t="s">
        <v>378</v>
      </c>
    </row>
    <row r="200" spans="1:16" x14ac:dyDescent="0.15">
      <c r="B200" s="23" t="s">
        <v>269</v>
      </c>
      <c r="C200" s="23" t="s">
        <v>266</v>
      </c>
      <c r="D200" s="23" t="s">
        <v>379</v>
      </c>
    </row>
    <row r="202" spans="1:16" ht="15" x14ac:dyDescent="0.2">
      <c r="A202" s="77" t="s">
        <v>380</v>
      </c>
    </row>
    <row r="204" spans="1:16" x14ac:dyDescent="0.15">
      <c r="C204" s="40"/>
      <c r="D204" s="40" t="s">
        <v>381</v>
      </c>
      <c r="E204" s="40" t="s">
        <v>382</v>
      </c>
      <c r="F204" s="40" t="s">
        <v>383</v>
      </c>
      <c r="H204" s="40"/>
      <c r="I204" s="40" t="s">
        <v>381</v>
      </c>
      <c r="J204" s="40" t="s">
        <v>382</v>
      </c>
      <c r="L204" s="23"/>
    </row>
    <row r="205" spans="1:16" x14ac:dyDescent="0.15">
      <c r="C205" s="24" t="s">
        <v>28</v>
      </c>
      <c r="D205" s="17">
        <v>10</v>
      </c>
      <c r="E205" s="40">
        <v>9</v>
      </c>
      <c r="F205" s="40">
        <v>9</v>
      </c>
      <c r="H205" s="24" t="s">
        <v>31</v>
      </c>
      <c r="I205" s="17">
        <v>7</v>
      </c>
      <c r="J205" s="40">
        <v>9</v>
      </c>
      <c r="L205" s="23"/>
    </row>
    <row r="206" spans="1:16" x14ac:dyDescent="0.15">
      <c r="C206" s="24" t="s">
        <v>41</v>
      </c>
      <c r="D206" s="17">
        <v>9</v>
      </c>
      <c r="E206" s="40">
        <v>8</v>
      </c>
      <c r="F206" s="40">
        <v>6</v>
      </c>
      <c r="H206" s="24" t="s">
        <v>44</v>
      </c>
      <c r="I206" s="17">
        <v>10</v>
      </c>
      <c r="J206" s="40">
        <v>8</v>
      </c>
      <c r="L206" s="23"/>
    </row>
    <row r="207" spans="1:16" x14ac:dyDescent="0.15">
      <c r="C207" s="24" t="s">
        <v>47</v>
      </c>
      <c r="D207" s="17">
        <v>7</v>
      </c>
      <c r="E207" s="40">
        <v>7</v>
      </c>
      <c r="F207" s="40">
        <v>9</v>
      </c>
      <c r="H207" s="24" t="s">
        <v>50</v>
      </c>
      <c r="I207" s="17">
        <v>8</v>
      </c>
      <c r="J207" s="40">
        <v>7</v>
      </c>
      <c r="L207" s="23"/>
    </row>
    <row r="208" spans="1:16" x14ac:dyDescent="0.15">
      <c r="C208" s="24" t="s">
        <v>55</v>
      </c>
      <c r="D208" s="17">
        <v>8</v>
      </c>
      <c r="E208" s="40">
        <v>6</v>
      </c>
      <c r="F208" s="40">
        <v>6</v>
      </c>
      <c r="H208" s="24" t="s">
        <v>58</v>
      </c>
      <c r="I208" s="17">
        <v>8</v>
      </c>
      <c r="J208" s="40">
        <v>6</v>
      </c>
      <c r="L208" s="23"/>
    </row>
    <row r="209" spans="3:13" x14ac:dyDescent="0.15">
      <c r="C209" s="24" t="s">
        <v>62</v>
      </c>
      <c r="D209" s="17">
        <v>7</v>
      </c>
      <c r="E209" s="40">
        <v>5</v>
      </c>
      <c r="F209" s="40">
        <v>9</v>
      </c>
      <c r="H209" s="24" t="s">
        <v>65</v>
      </c>
      <c r="I209" s="17">
        <v>10</v>
      </c>
      <c r="J209" s="40">
        <v>5</v>
      </c>
      <c r="L209" s="23"/>
    </row>
    <row r="210" spans="3:13" x14ac:dyDescent="0.15">
      <c r="C210" s="24" t="s">
        <v>68</v>
      </c>
      <c r="D210" s="17">
        <v>10</v>
      </c>
      <c r="E210" s="40">
        <v>9</v>
      </c>
      <c r="F210" s="40">
        <v>6</v>
      </c>
      <c r="H210" s="24" t="s">
        <v>71</v>
      </c>
      <c r="I210" s="17">
        <v>7</v>
      </c>
      <c r="J210" s="40">
        <v>4</v>
      </c>
      <c r="L210" s="23"/>
    </row>
    <row r="211" spans="3:13" x14ac:dyDescent="0.15">
      <c r="C211" s="24" t="s">
        <v>74</v>
      </c>
      <c r="D211" s="17">
        <v>9</v>
      </c>
      <c r="E211" s="40">
        <v>8</v>
      </c>
      <c r="F211" s="40">
        <v>9</v>
      </c>
      <c r="H211" s="24" t="s">
        <v>62</v>
      </c>
      <c r="I211" s="17">
        <v>7</v>
      </c>
      <c r="J211" s="40">
        <v>9</v>
      </c>
      <c r="L211" s="23"/>
    </row>
    <row r="212" spans="3:13" x14ac:dyDescent="0.15">
      <c r="C212" s="24" t="s">
        <v>78</v>
      </c>
      <c r="D212" s="17">
        <v>7</v>
      </c>
      <c r="E212" s="40">
        <v>7</v>
      </c>
      <c r="F212" s="40">
        <v>6</v>
      </c>
      <c r="H212" s="24" t="s">
        <v>80</v>
      </c>
      <c r="I212" s="17">
        <v>10</v>
      </c>
      <c r="J212" s="40">
        <v>8</v>
      </c>
      <c r="L212" s="23"/>
    </row>
    <row r="213" spans="3:13" x14ac:dyDescent="0.15">
      <c r="C213" s="24" t="s">
        <v>85</v>
      </c>
      <c r="D213" s="17">
        <v>8</v>
      </c>
      <c r="E213" s="40">
        <v>6</v>
      </c>
      <c r="F213" s="40">
        <v>9</v>
      </c>
      <c r="H213" s="24" t="s">
        <v>88</v>
      </c>
      <c r="I213" s="17">
        <v>9</v>
      </c>
      <c r="J213" s="40">
        <v>7</v>
      </c>
      <c r="L213" s="23"/>
    </row>
    <row r="214" spans="3:13" x14ac:dyDescent="0.15">
      <c r="C214" s="24" t="s">
        <v>92</v>
      </c>
      <c r="D214" s="17">
        <v>7</v>
      </c>
      <c r="E214" s="40">
        <v>5</v>
      </c>
      <c r="F214" s="40">
        <v>6</v>
      </c>
      <c r="H214" s="24" t="s">
        <v>95</v>
      </c>
      <c r="I214" s="17">
        <v>9</v>
      </c>
      <c r="J214" s="40">
        <v>6</v>
      </c>
      <c r="L214" s="23"/>
      <c r="M214" s="27"/>
    </row>
    <row r="215" spans="3:13" x14ac:dyDescent="0.15">
      <c r="H215" s="24" t="s">
        <v>98</v>
      </c>
      <c r="I215" s="17">
        <v>10</v>
      </c>
      <c r="J215" s="40">
        <v>5</v>
      </c>
      <c r="L215" s="23"/>
      <c r="M215" s="27"/>
    </row>
    <row r="216" spans="3:13" x14ac:dyDescent="0.15">
      <c r="H216" s="24" t="s">
        <v>104</v>
      </c>
      <c r="I216" s="17">
        <v>7</v>
      </c>
      <c r="J216" s="40">
        <v>4</v>
      </c>
      <c r="L216" s="23"/>
      <c r="M216" s="27"/>
    </row>
    <row r="218" spans="3:13" x14ac:dyDescent="0.15">
      <c r="E218" s="23">
        <v>1</v>
      </c>
      <c r="F218" s="23" t="s">
        <v>372</v>
      </c>
      <c r="H218" s="51"/>
      <c r="I218" s="40" t="s">
        <v>382</v>
      </c>
      <c r="J218" s="40" t="s">
        <v>381</v>
      </c>
    </row>
    <row r="219" spans="3:13" x14ac:dyDescent="0.15">
      <c r="E219" s="23">
        <v>2</v>
      </c>
      <c r="F219" s="23" t="s">
        <v>384</v>
      </c>
      <c r="H219" s="51" t="s">
        <v>385</v>
      </c>
      <c r="I219" s="40">
        <f>VLOOKUP(D103,C205:E214,3,)</f>
        <v>6</v>
      </c>
      <c r="J219" s="40">
        <f>VLOOKUP(E103,C205:E214,2,)</f>
        <v>7</v>
      </c>
    </row>
    <row r="220" spans="3:13" x14ac:dyDescent="0.15">
      <c r="E220" s="23">
        <v>3</v>
      </c>
      <c r="F220" s="23" t="s">
        <v>269</v>
      </c>
      <c r="H220" s="51" t="s">
        <v>386</v>
      </c>
      <c r="I220" s="40">
        <f>VLOOKUP(D104,H205:J216,3,)</f>
        <v>9</v>
      </c>
      <c r="J220" s="40">
        <f>VLOOKUP(E104,H205:J216,2,)</f>
        <v>10</v>
      </c>
    </row>
    <row r="221" spans="3:13" x14ac:dyDescent="0.15">
      <c r="E221" s="23">
        <v>4</v>
      </c>
      <c r="F221" s="23" t="s">
        <v>266</v>
      </c>
      <c r="H221" s="51" t="s">
        <v>387</v>
      </c>
      <c r="I221" s="40">
        <f>SUM(I219:I220)</f>
        <v>15</v>
      </c>
      <c r="J221" s="40">
        <f>SUM(J219:J220)</f>
        <v>17</v>
      </c>
    </row>
    <row r="222" spans="3:13" x14ac:dyDescent="0.15">
      <c r="E222" s="23">
        <v>5</v>
      </c>
      <c r="F222" s="23" t="s">
        <v>267</v>
      </c>
    </row>
    <row r="223" spans="3:13" x14ac:dyDescent="0.15">
      <c r="E223" s="23">
        <v>6</v>
      </c>
      <c r="F223" s="23" t="s">
        <v>388</v>
      </c>
      <c r="I223" s="23" t="s">
        <v>389</v>
      </c>
      <c r="J223" s="23" t="s">
        <v>390</v>
      </c>
    </row>
    <row r="224" spans="3:13" x14ac:dyDescent="0.15">
      <c r="E224" s="23">
        <v>7</v>
      </c>
      <c r="F224" s="23" t="s">
        <v>239</v>
      </c>
      <c r="I224" s="23">
        <f>SUM(I221:J221)</f>
        <v>32</v>
      </c>
      <c r="J224" s="23">
        <f>VLOOKUP(E103,C205:F214,4,)</f>
        <v>9</v>
      </c>
    </row>
    <row r="225" spans="1:10" x14ac:dyDescent="0.15">
      <c r="E225" s="23">
        <v>8</v>
      </c>
      <c r="F225" s="23" t="s">
        <v>264</v>
      </c>
      <c r="I225" s="23" t="s">
        <v>391</v>
      </c>
      <c r="J225" s="23" t="s">
        <v>392</v>
      </c>
    </row>
    <row r="226" spans="1:10" x14ac:dyDescent="0.15">
      <c r="E226" s="23">
        <v>9</v>
      </c>
      <c r="F226" s="23" t="s">
        <v>268</v>
      </c>
      <c r="I226" s="23">
        <f>IF(MOD(I224,J224)=0,J224,MOD(I224,J224))</f>
        <v>5</v>
      </c>
      <c r="J226" s="188" t="str">
        <f>VLOOKUP(I226,E218:F226,2,)</f>
        <v>Ki6</v>
      </c>
    </row>
    <row r="233" spans="1:10" ht="15" x14ac:dyDescent="0.2">
      <c r="A233" s="77" t="s">
        <v>22</v>
      </c>
    </row>
    <row r="235" spans="1:10" x14ac:dyDescent="0.15">
      <c r="B235" s="25" t="s">
        <v>393</v>
      </c>
      <c r="C235" s="25" t="s">
        <v>394</v>
      </c>
      <c r="D235" s="25" t="s">
        <v>395</v>
      </c>
      <c r="E235" s="25" t="s">
        <v>121</v>
      </c>
      <c r="F235" s="25" t="s">
        <v>396</v>
      </c>
      <c r="G235" s="25" t="s">
        <v>397</v>
      </c>
      <c r="I235" s="3"/>
      <c r="J235" s="1"/>
    </row>
    <row r="236" spans="1:10" x14ac:dyDescent="0.15">
      <c r="B236" s="23">
        <v>1</v>
      </c>
      <c r="C236" s="23" t="s">
        <v>398</v>
      </c>
      <c r="D236" s="23" t="s">
        <v>399</v>
      </c>
      <c r="E236" s="23" t="s">
        <v>37</v>
      </c>
      <c r="F236" s="23" t="s">
        <v>400</v>
      </c>
      <c r="G236" s="23" t="s">
        <v>37</v>
      </c>
      <c r="H236" s="23" t="s">
        <v>401</v>
      </c>
      <c r="I236" s="3"/>
      <c r="J236" s="1"/>
    </row>
    <row r="237" spans="1:10" x14ac:dyDescent="0.15">
      <c r="B237" s="23">
        <v>2</v>
      </c>
      <c r="C237" s="23" t="s">
        <v>402</v>
      </c>
      <c r="D237" s="23" t="s">
        <v>399</v>
      </c>
      <c r="E237" s="23" t="s">
        <v>37</v>
      </c>
      <c r="F237" s="23" t="s">
        <v>403</v>
      </c>
      <c r="G237" s="23" t="s">
        <v>39</v>
      </c>
      <c r="H237" s="23" t="s">
        <v>404</v>
      </c>
      <c r="I237" s="1"/>
      <c r="J237" s="1"/>
    </row>
    <row r="238" spans="1:10" x14ac:dyDescent="0.15">
      <c r="B238" s="23">
        <v>3</v>
      </c>
      <c r="C238" s="23" t="s">
        <v>405</v>
      </c>
      <c r="D238" s="23" t="s">
        <v>399</v>
      </c>
      <c r="E238" s="23" t="s">
        <v>37</v>
      </c>
      <c r="F238" s="23" t="s">
        <v>406</v>
      </c>
      <c r="G238" s="23" t="s">
        <v>38</v>
      </c>
      <c r="H238" s="23" t="s">
        <v>407</v>
      </c>
      <c r="I238" s="1"/>
      <c r="J238" s="1"/>
    </row>
    <row r="239" spans="1:10" x14ac:dyDescent="0.15">
      <c r="B239" s="23">
        <v>4</v>
      </c>
      <c r="C239" s="23" t="s">
        <v>408</v>
      </c>
      <c r="D239" s="23" t="s">
        <v>399</v>
      </c>
      <c r="E239" s="23" t="s">
        <v>37</v>
      </c>
      <c r="F239" s="23" t="s">
        <v>409</v>
      </c>
      <c r="G239" s="23" t="s">
        <v>123</v>
      </c>
      <c r="H239" s="23" t="s">
        <v>410</v>
      </c>
      <c r="I239" s="1"/>
      <c r="J239" s="1"/>
    </row>
    <row r="240" spans="1:10" x14ac:dyDescent="0.15">
      <c r="B240" s="23">
        <v>5</v>
      </c>
      <c r="C240" s="23" t="s">
        <v>411</v>
      </c>
      <c r="D240" s="23" t="s">
        <v>399</v>
      </c>
      <c r="E240" s="23" t="s">
        <v>37</v>
      </c>
      <c r="F240" s="23" t="s">
        <v>412</v>
      </c>
      <c r="G240" s="23" t="s">
        <v>50</v>
      </c>
      <c r="H240" s="23" t="s">
        <v>413</v>
      </c>
      <c r="I240" s="1"/>
      <c r="J240" s="1"/>
    </row>
    <row r="241" spans="2:10" x14ac:dyDescent="0.15">
      <c r="B241" s="23">
        <v>6</v>
      </c>
      <c r="C241" s="23" t="s">
        <v>414</v>
      </c>
      <c r="D241" s="23" t="s">
        <v>399</v>
      </c>
      <c r="E241" s="23" t="s">
        <v>37</v>
      </c>
      <c r="F241" s="23" t="s">
        <v>415</v>
      </c>
      <c r="G241" s="23" t="s">
        <v>35</v>
      </c>
      <c r="H241" s="23" t="s">
        <v>416</v>
      </c>
      <c r="I241" s="1"/>
      <c r="J241" s="1"/>
    </row>
    <row r="242" spans="2:10" x14ac:dyDescent="0.15">
      <c r="B242" s="23">
        <v>7</v>
      </c>
      <c r="C242" s="23" t="s">
        <v>417</v>
      </c>
      <c r="D242" s="23" t="s">
        <v>399</v>
      </c>
      <c r="E242" s="23" t="s">
        <v>37</v>
      </c>
      <c r="F242" s="23" t="s">
        <v>418</v>
      </c>
      <c r="G242" s="23" t="s">
        <v>40</v>
      </c>
      <c r="H242" s="23" t="s">
        <v>419</v>
      </c>
      <c r="I242" s="1"/>
      <c r="J242" s="1"/>
    </row>
    <row r="243" spans="2:10" x14ac:dyDescent="0.15">
      <c r="B243" s="23">
        <v>8</v>
      </c>
      <c r="C243" s="23" t="s">
        <v>420</v>
      </c>
      <c r="D243" s="23" t="s">
        <v>421</v>
      </c>
      <c r="E243" s="23" t="s">
        <v>40</v>
      </c>
      <c r="F243" s="23" t="s">
        <v>400</v>
      </c>
      <c r="G243" s="23" t="s">
        <v>37</v>
      </c>
      <c r="H243" s="23" t="s">
        <v>422</v>
      </c>
      <c r="I243" s="1"/>
      <c r="J243" s="1"/>
    </row>
    <row r="244" spans="2:10" x14ac:dyDescent="0.15">
      <c r="B244" s="23">
        <v>9</v>
      </c>
      <c r="C244" s="23" t="s">
        <v>423</v>
      </c>
      <c r="D244" s="23" t="s">
        <v>421</v>
      </c>
      <c r="E244" s="23" t="s">
        <v>40</v>
      </c>
      <c r="F244" s="23" t="s">
        <v>403</v>
      </c>
      <c r="G244" s="23" t="s">
        <v>39</v>
      </c>
      <c r="H244" s="23" t="s">
        <v>424</v>
      </c>
      <c r="I244" s="1"/>
      <c r="J244" s="1"/>
    </row>
    <row r="245" spans="2:10" x14ac:dyDescent="0.15">
      <c r="B245" s="23">
        <v>10</v>
      </c>
      <c r="C245" s="23" t="s">
        <v>425</v>
      </c>
      <c r="D245" s="23" t="s">
        <v>421</v>
      </c>
      <c r="E245" s="23" t="s">
        <v>40</v>
      </c>
      <c r="F245" s="23" t="s">
        <v>406</v>
      </c>
      <c r="G245" s="23" t="s">
        <v>38</v>
      </c>
      <c r="H245" s="23" t="s">
        <v>426</v>
      </c>
      <c r="I245" s="1"/>
      <c r="J245" s="1"/>
    </row>
    <row r="246" spans="2:10" x14ac:dyDescent="0.15">
      <c r="B246" s="23">
        <v>11</v>
      </c>
      <c r="C246" s="23" t="s">
        <v>427</v>
      </c>
      <c r="D246" s="23" t="s">
        <v>421</v>
      </c>
      <c r="E246" s="23" t="s">
        <v>40</v>
      </c>
      <c r="F246" s="23" t="s">
        <v>409</v>
      </c>
      <c r="G246" s="23" t="s">
        <v>123</v>
      </c>
      <c r="H246" s="23" t="s">
        <v>428</v>
      </c>
      <c r="I246" s="19"/>
      <c r="J246" s="19"/>
    </row>
    <row r="247" spans="2:10" x14ac:dyDescent="0.15">
      <c r="B247" s="23">
        <v>12</v>
      </c>
      <c r="C247" s="23" t="s">
        <v>429</v>
      </c>
      <c r="D247" s="23" t="s">
        <v>421</v>
      </c>
      <c r="E247" s="23" t="s">
        <v>40</v>
      </c>
      <c r="F247" s="23" t="s">
        <v>412</v>
      </c>
      <c r="G247" s="23" t="s">
        <v>50</v>
      </c>
      <c r="H247" s="23" t="s">
        <v>430</v>
      </c>
      <c r="I247" s="19"/>
      <c r="J247" s="19"/>
    </row>
    <row r="248" spans="2:10" x14ac:dyDescent="0.15">
      <c r="B248" s="23">
        <v>13</v>
      </c>
      <c r="C248" s="23" t="s">
        <v>431</v>
      </c>
      <c r="D248" s="23" t="s">
        <v>421</v>
      </c>
      <c r="E248" s="23" t="s">
        <v>40</v>
      </c>
      <c r="F248" s="23" t="s">
        <v>415</v>
      </c>
      <c r="G248" s="23" t="s">
        <v>35</v>
      </c>
      <c r="H248" s="23" t="s">
        <v>432</v>
      </c>
      <c r="I248" s="19"/>
      <c r="J248" s="19"/>
    </row>
    <row r="249" spans="2:10" x14ac:dyDescent="0.15">
      <c r="B249" s="23">
        <v>14</v>
      </c>
      <c r="C249" s="23" t="s">
        <v>433</v>
      </c>
      <c r="D249" s="23" t="s">
        <v>421</v>
      </c>
      <c r="E249" s="23" t="s">
        <v>40</v>
      </c>
      <c r="F249" s="23" t="s">
        <v>418</v>
      </c>
      <c r="G249" s="23" t="s">
        <v>40</v>
      </c>
      <c r="H249" s="23" t="s">
        <v>434</v>
      </c>
      <c r="I249" s="19"/>
      <c r="J249" s="19"/>
    </row>
    <row r="250" spans="2:10" x14ac:dyDescent="0.15">
      <c r="B250" s="23">
        <v>15</v>
      </c>
      <c r="C250" s="23" t="s">
        <v>435</v>
      </c>
      <c r="D250" s="23" t="s">
        <v>436</v>
      </c>
      <c r="E250" s="23" t="s">
        <v>39</v>
      </c>
      <c r="F250" s="23" t="s">
        <v>400</v>
      </c>
      <c r="G250" s="23" t="s">
        <v>37</v>
      </c>
      <c r="H250" s="23" t="s">
        <v>437</v>
      </c>
      <c r="I250" s="19"/>
      <c r="J250" s="19"/>
    </row>
    <row r="251" spans="2:10" x14ac:dyDescent="0.15">
      <c r="B251" s="23">
        <v>16</v>
      </c>
      <c r="C251" s="23" t="s">
        <v>438</v>
      </c>
      <c r="D251" s="23" t="s">
        <v>436</v>
      </c>
      <c r="E251" s="23" t="s">
        <v>39</v>
      </c>
      <c r="F251" s="23" t="s">
        <v>403</v>
      </c>
      <c r="G251" s="23" t="s">
        <v>39</v>
      </c>
      <c r="H251" s="23" t="s">
        <v>439</v>
      </c>
      <c r="I251" s="19"/>
      <c r="J251" s="19"/>
    </row>
    <row r="252" spans="2:10" x14ac:dyDescent="0.15">
      <c r="B252" s="23">
        <v>17</v>
      </c>
      <c r="C252" s="23" t="s">
        <v>440</v>
      </c>
      <c r="D252" s="23" t="s">
        <v>436</v>
      </c>
      <c r="E252" s="23" t="s">
        <v>39</v>
      </c>
      <c r="F252" s="23" t="s">
        <v>406</v>
      </c>
      <c r="G252" s="23" t="s">
        <v>38</v>
      </c>
      <c r="H252" s="23" t="s">
        <v>441</v>
      </c>
      <c r="I252" s="19"/>
      <c r="J252" s="19"/>
    </row>
    <row r="253" spans="2:10" x14ac:dyDescent="0.15">
      <c r="B253" s="23">
        <v>18</v>
      </c>
      <c r="C253" s="23" t="s">
        <v>442</v>
      </c>
      <c r="D253" s="23" t="s">
        <v>436</v>
      </c>
      <c r="E253" s="23" t="s">
        <v>39</v>
      </c>
      <c r="F253" s="23" t="s">
        <v>409</v>
      </c>
      <c r="G253" s="23" t="s">
        <v>123</v>
      </c>
      <c r="H253" s="23" t="s">
        <v>443</v>
      </c>
      <c r="I253" s="19"/>
      <c r="J253" s="19"/>
    </row>
    <row r="254" spans="2:10" x14ac:dyDescent="0.15">
      <c r="B254" s="23">
        <v>19</v>
      </c>
      <c r="C254" s="23" t="s">
        <v>444</v>
      </c>
      <c r="D254" s="23" t="s">
        <v>436</v>
      </c>
      <c r="E254" s="23" t="s">
        <v>39</v>
      </c>
      <c r="F254" s="23" t="s">
        <v>412</v>
      </c>
      <c r="G254" s="23" t="s">
        <v>50</v>
      </c>
      <c r="H254" s="23" t="s">
        <v>445</v>
      </c>
      <c r="I254" s="19"/>
      <c r="J254" s="19"/>
    </row>
    <row r="255" spans="2:10" x14ac:dyDescent="0.15">
      <c r="B255" s="23">
        <v>20</v>
      </c>
      <c r="C255" s="23" t="s">
        <v>446</v>
      </c>
      <c r="D255" s="23" t="s">
        <v>436</v>
      </c>
      <c r="E255" s="23" t="s">
        <v>39</v>
      </c>
      <c r="F255" s="23" t="s">
        <v>415</v>
      </c>
      <c r="G255" s="23" t="s">
        <v>35</v>
      </c>
      <c r="H255" s="23" t="s">
        <v>447</v>
      </c>
      <c r="I255" s="19"/>
      <c r="J255" s="19"/>
    </row>
    <row r="256" spans="2:10" x14ac:dyDescent="0.15">
      <c r="B256" s="23">
        <v>21</v>
      </c>
      <c r="C256" s="23" t="s">
        <v>448</v>
      </c>
      <c r="D256" s="23" t="s">
        <v>436</v>
      </c>
      <c r="E256" s="23" t="s">
        <v>39</v>
      </c>
      <c r="F256" s="23" t="s">
        <v>418</v>
      </c>
      <c r="G256" s="23" t="s">
        <v>40</v>
      </c>
      <c r="H256" s="23" t="s">
        <v>449</v>
      </c>
      <c r="I256" s="19"/>
      <c r="J256" s="19"/>
    </row>
    <row r="257" spans="2:10" x14ac:dyDescent="0.15">
      <c r="B257" s="23">
        <v>22</v>
      </c>
      <c r="C257" s="23" t="s">
        <v>450</v>
      </c>
      <c r="D257" s="23" t="s">
        <v>451</v>
      </c>
      <c r="E257" s="23" t="s">
        <v>35</v>
      </c>
      <c r="F257" s="23" t="s">
        <v>400</v>
      </c>
      <c r="G257" s="23" t="s">
        <v>37</v>
      </c>
      <c r="H257" s="23" t="s">
        <v>452</v>
      </c>
      <c r="I257" s="19"/>
      <c r="J257" s="19"/>
    </row>
    <row r="258" spans="2:10" x14ac:dyDescent="0.15">
      <c r="B258" s="23">
        <v>23</v>
      </c>
      <c r="C258" s="23" t="s">
        <v>453</v>
      </c>
      <c r="D258" s="23" t="s">
        <v>451</v>
      </c>
      <c r="E258" s="23" t="s">
        <v>35</v>
      </c>
      <c r="F258" s="23" t="s">
        <v>403</v>
      </c>
      <c r="G258" s="23" t="s">
        <v>39</v>
      </c>
      <c r="H258" s="23" t="s">
        <v>454</v>
      </c>
      <c r="I258" s="19"/>
      <c r="J258" s="19"/>
    </row>
    <row r="259" spans="2:10" x14ac:dyDescent="0.15">
      <c r="B259" s="23">
        <v>24</v>
      </c>
      <c r="C259" s="23" t="s">
        <v>455</v>
      </c>
      <c r="D259" s="23" t="s">
        <v>451</v>
      </c>
      <c r="E259" s="23" t="s">
        <v>35</v>
      </c>
      <c r="F259" s="23" t="s">
        <v>406</v>
      </c>
      <c r="G259" s="23" t="s">
        <v>38</v>
      </c>
      <c r="H259" s="23" t="s">
        <v>456</v>
      </c>
      <c r="I259" s="19"/>
      <c r="J259" s="19"/>
    </row>
    <row r="260" spans="2:10" x14ac:dyDescent="0.15">
      <c r="B260" s="23">
        <v>25</v>
      </c>
      <c r="C260" s="23" t="s">
        <v>457</v>
      </c>
      <c r="D260" s="23" t="s">
        <v>451</v>
      </c>
      <c r="E260" s="23" t="s">
        <v>35</v>
      </c>
      <c r="F260" s="23" t="s">
        <v>409</v>
      </c>
      <c r="G260" s="23" t="s">
        <v>123</v>
      </c>
      <c r="H260" s="23" t="s">
        <v>458</v>
      </c>
      <c r="I260" s="1"/>
      <c r="J260" s="1"/>
    </row>
    <row r="261" spans="2:10" x14ac:dyDescent="0.15">
      <c r="B261" s="23">
        <v>26</v>
      </c>
      <c r="C261" s="23" t="s">
        <v>459</v>
      </c>
      <c r="D261" s="23" t="s">
        <v>451</v>
      </c>
      <c r="E261" s="23" t="s">
        <v>35</v>
      </c>
      <c r="F261" s="23" t="s">
        <v>412</v>
      </c>
      <c r="G261" s="23" t="s">
        <v>50</v>
      </c>
      <c r="H261" s="23" t="s">
        <v>460</v>
      </c>
      <c r="I261" s="1"/>
      <c r="J261" s="1"/>
    </row>
    <row r="262" spans="2:10" x14ac:dyDescent="0.15">
      <c r="B262" s="23">
        <v>27</v>
      </c>
      <c r="C262" s="23" t="s">
        <v>461</v>
      </c>
      <c r="D262" s="23" t="s">
        <v>451</v>
      </c>
      <c r="E262" s="23" t="s">
        <v>35</v>
      </c>
      <c r="F262" s="23" t="s">
        <v>415</v>
      </c>
      <c r="G262" s="23" t="s">
        <v>35</v>
      </c>
      <c r="H262" s="23" t="s">
        <v>462</v>
      </c>
      <c r="I262" s="1"/>
      <c r="J262" s="1"/>
    </row>
    <row r="263" spans="2:10" x14ac:dyDescent="0.15">
      <c r="B263" s="23">
        <v>28</v>
      </c>
      <c r="C263" s="23" t="s">
        <v>463</v>
      </c>
      <c r="D263" s="23" t="s">
        <v>451</v>
      </c>
      <c r="E263" s="23" t="s">
        <v>35</v>
      </c>
      <c r="F263" s="23" t="s">
        <v>418</v>
      </c>
      <c r="G263" s="23" t="s">
        <v>40</v>
      </c>
      <c r="H263" s="23" t="s">
        <v>464</v>
      </c>
      <c r="I263" s="1"/>
      <c r="J263" s="1"/>
    </row>
    <row r="264" spans="2:10" ht="16" x14ac:dyDescent="0.2">
      <c r="B264" s="20"/>
      <c r="C264" s="1"/>
      <c r="D264" s="1"/>
      <c r="E264" s="1"/>
      <c r="F264" s="1"/>
      <c r="G264" s="1"/>
      <c r="H264" s="1"/>
      <c r="I264" s="1"/>
      <c r="J264" s="1"/>
    </row>
    <row r="265" spans="2:10" x14ac:dyDescent="0.15">
      <c r="B265" s="2" t="s">
        <v>393</v>
      </c>
      <c r="C265" s="1" t="s">
        <v>465</v>
      </c>
      <c r="D265" s="1">
        <f>IF(MOD((Front!D2-19),28)=0,28,MOD((Front!D2-19),28))</f>
        <v>2</v>
      </c>
      <c r="E265" s="1"/>
      <c r="H265" s="1"/>
      <c r="I265" s="1"/>
      <c r="J265" s="1"/>
    </row>
    <row r="266" spans="2:10" x14ac:dyDescent="0.15">
      <c r="B266" s="1"/>
      <c r="C266" s="1" t="s">
        <v>394</v>
      </c>
      <c r="D266" s="1" t="str">
        <f>VLOOKUP($D$265,$B$236:$H$263,2)</f>
        <v>Dragon</v>
      </c>
      <c r="E266" s="1"/>
      <c r="I266" s="1"/>
      <c r="J266" s="1"/>
    </row>
    <row r="267" spans="2:10" x14ac:dyDescent="0.15">
      <c r="B267" s="1"/>
      <c r="C267" s="1" t="s">
        <v>395</v>
      </c>
      <c r="D267" s="1" t="str">
        <f>VLOOKUP($D$265,$B$236:$H$263,3)</f>
        <v>East</v>
      </c>
      <c r="E267" s="1"/>
      <c r="I267" s="1"/>
      <c r="J267" s="1"/>
    </row>
    <row r="268" spans="2:10" x14ac:dyDescent="0.15">
      <c r="B268" s="1"/>
      <c r="C268" s="1" t="s">
        <v>121</v>
      </c>
      <c r="D268" s="1" t="str">
        <f>VLOOKUP($D$265,$B$236:$H$263,4)</f>
        <v>Wood</v>
      </c>
      <c r="E268" s="1"/>
      <c r="F268" s="1"/>
      <c r="H268" s="1"/>
      <c r="I268" s="1"/>
      <c r="J268" s="1"/>
    </row>
    <row r="269" spans="2:10" ht="14" x14ac:dyDescent="0.2">
      <c r="B269" s="1"/>
      <c r="C269" s="21" t="str">
        <f>D265&amp;" "&amp;D266&amp;" - "&amp;D267&amp;" ("&amp;D268&amp;")"</f>
        <v>2 Dragon - East (Wood)</v>
      </c>
      <c r="D269" s="1"/>
      <c r="E269" s="1"/>
      <c r="F269" s="1"/>
      <c r="H269" s="1"/>
      <c r="I269" s="1"/>
      <c r="J269" s="1"/>
    </row>
    <row r="270" spans="2:10" ht="14" x14ac:dyDescent="0.2">
      <c r="B270" s="1"/>
      <c r="C270" s="21"/>
      <c r="D270" s="1"/>
      <c r="E270" s="1"/>
      <c r="F270" s="1"/>
      <c r="H270" s="1"/>
      <c r="I270" s="1"/>
      <c r="J270" s="1"/>
    </row>
    <row r="271" spans="2:10" x14ac:dyDescent="0.15">
      <c r="B271" s="1"/>
      <c r="C271" s="1" t="s">
        <v>396</v>
      </c>
      <c r="D271" s="1" t="str">
        <f>VLOOKUP($D$265,$B$236:$H$263,5)</f>
        <v>Venus</v>
      </c>
      <c r="E271" s="1"/>
      <c r="I271" s="1"/>
      <c r="J271" s="1"/>
    </row>
    <row r="272" spans="2:10" x14ac:dyDescent="0.15">
      <c r="B272" s="1"/>
      <c r="C272" s="1" t="s">
        <v>397</v>
      </c>
      <c r="D272" s="1" t="str">
        <f>VLOOKUP($D$265,$B$236:$H$263,6)</f>
        <v>Metal</v>
      </c>
      <c r="E272" s="1"/>
      <c r="I272" s="1"/>
      <c r="J272" s="1"/>
    </row>
    <row r="273" spans="2:10" ht="14" x14ac:dyDescent="0.2">
      <c r="B273" s="1"/>
      <c r="C273" s="21" t="str">
        <f>D271&amp;" ("&amp;D272&amp;")"</f>
        <v>Venus (Metal)</v>
      </c>
      <c r="D273" s="1"/>
      <c r="E273" s="21" t="str">
        <f>VLOOKUP($D$265,$B$236:$H$263,7)</f>
        <v>Gb44/Liv4  Co1/Lu8</v>
      </c>
      <c r="F273" s="1"/>
      <c r="H273" s="1"/>
      <c r="I273" s="1"/>
      <c r="J273" s="1"/>
    </row>
    <row r="274" spans="2:10" ht="14" x14ac:dyDescent="0.2">
      <c r="B274" s="1"/>
      <c r="C274" s="21"/>
      <c r="D274" s="1"/>
      <c r="E274" s="1"/>
      <c r="F274" s="1"/>
      <c r="H274" s="1"/>
      <c r="I274" s="1"/>
      <c r="J274" s="1"/>
    </row>
    <row r="275" spans="2:10" x14ac:dyDescent="0.15">
      <c r="E275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R157"/>
  <sheetViews>
    <sheetView topLeftCell="A8" zoomScale="162" zoomScaleNormal="110" workbookViewId="0">
      <selection activeCell="D29" sqref="D29"/>
    </sheetView>
  </sheetViews>
  <sheetFormatPr baseColWidth="10" defaultColWidth="10.6640625" defaultRowHeight="12" x14ac:dyDescent="0.15"/>
  <cols>
    <col min="1" max="1" width="10.6640625" style="4"/>
    <col min="2" max="4" width="10.6640625" style="4" customWidth="1"/>
    <col min="5" max="5" width="15.1640625" style="4" customWidth="1"/>
    <col min="6" max="6" width="11.83203125" style="4" customWidth="1"/>
    <col min="7" max="7" width="13" style="4" customWidth="1"/>
    <col min="8" max="8" width="12.1640625" style="4" customWidth="1"/>
    <col min="9" max="9" width="11.6640625" style="4" customWidth="1"/>
    <col min="10" max="11" width="12.33203125" style="4" customWidth="1"/>
    <col min="12" max="12" width="12.6640625" style="4" customWidth="1"/>
    <col min="13" max="15" width="10.6640625" style="4"/>
    <col min="16" max="16" width="12.33203125" style="4" customWidth="1"/>
    <col min="17" max="16384" width="10.6640625" style="4"/>
  </cols>
  <sheetData>
    <row r="2" spans="1:10" ht="16" x14ac:dyDescent="0.2">
      <c r="A2" s="20" t="s">
        <v>466</v>
      </c>
      <c r="B2" s="1"/>
      <c r="C2" s="1"/>
      <c r="D2" s="1"/>
      <c r="E2" s="1"/>
      <c r="F2" s="173"/>
      <c r="G2" s="1"/>
      <c r="H2" s="1"/>
      <c r="I2" s="1"/>
      <c r="J2" s="1"/>
    </row>
    <row r="4" spans="1:10" x14ac:dyDescent="0.15">
      <c r="A4" s="1"/>
      <c r="B4" s="228" t="s">
        <v>24</v>
      </c>
      <c r="C4" s="17"/>
      <c r="D4" s="1"/>
      <c r="E4" s="228" t="s">
        <v>25</v>
      </c>
      <c r="F4" s="17"/>
      <c r="G4" s="1"/>
      <c r="H4" s="228" t="s">
        <v>26</v>
      </c>
      <c r="I4" s="17"/>
      <c r="J4" s="17"/>
    </row>
    <row r="5" spans="1:10" x14ac:dyDescent="0.15">
      <c r="A5" s="1"/>
      <c r="B5" s="228">
        <v>0</v>
      </c>
      <c r="C5" s="17" t="s">
        <v>467</v>
      </c>
      <c r="D5" s="1"/>
      <c r="E5" s="228">
        <v>0</v>
      </c>
      <c r="F5" s="17" t="s">
        <v>467</v>
      </c>
      <c r="G5" s="1"/>
      <c r="H5" s="17">
        <v>1</v>
      </c>
      <c r="I5" s="17" t="s">
        <v>33</v>
      </c>
      <c r="J5" s="17" t="s">
        <v>34</v>
      </c>
    </row>
    <row r="6" spans="1:10" x14ac:dyDescent="0.15">
      <c r="A6" s="1"/>
      <c r="B6" s="17">
        <v>1</v>
      </c>
      <c r="C6" s="24" t="s">
        <v>28</v>
      </c>
      <c r="D6" s="1"/>
      <c r="E6" s="17">
        <v>1</v>
      </c>
      <c r="F6" s="24" t="s">
        <v>31</v>
      </c>
      <c r="G6" s="1"/>
      <c r="H6" s="17">
        <v>2</v>
      </c>
      <c r="I6" s="17" t="s">
        <v>46</v>
      </c>
      <c r="J6" s="17" t="s">
        <v>38</v>
      </c>
    </row>
    <row r="7" spans="1:10" x14ac:dyDescent="0.15">
      <c r="A7" s="1"/>
      <c r="B7" s="17">
        <v>2</v>
      </c>
      <c r="C7" s="24" t="s">
        <v>41</v>
      </c>
      <c r="D7" s="1"/>
      <c r="E7" s="17">
        <v>2</v>
      </c>
      <c r="F7" s="24" t="s">
        <v>44</v>
      </c>
      <c r="G7" s="1"/>
      <c r="H7" s="17">
        <v>3</v>
      </c>
      <c r="I7" s="17" t="s">
        <v>53</v>
      </c>
      <c r="J7" s="17" t="s">
        <v>54</v>
      </c>
    </row>
    <row r="8" spans="1:10" ht="12" customHeight="1" x14ac:dyDescent="0.15">
      <c r="A8" s="1"/>
      <c r="B8" s="17">
        <v>3</v>
      </c>
      <c r="C8" s="24" t="s">
        <v>47</v>
      </c>
      <c r="D8" s="1"/>
      <c r="E8" s="17">
        <v>3</v>
      </c>
      <c r="F8" s="24" t="s">
        <v>50</v>
      </c>
      <c r="G8" s="1"/>
      <c r="H8" s="17">
        <v>4</v>
      </c>
      <c r="I8" s="17" t="s">
        <v>61</v>
      </c>
      <c r="J8" s="17" t="s">
        <v>39</v>
      </c>
    </row>
    <row r="9" spans="1:10" x14ac:dyDescent="0.15">
      <c r="A9" s="1"/>
      <c r="B9" s="17">
        <v>4</v>
      </c>
      <c r="C9" s="24" t="s">
        <v>55</v>
      </c>
      <c r="D9" s="1"/>
      <c r="E9" s="17">
        <v>4</v>
      </c>
      <c r="F9" s="24" t="s">
        <v>58</v>
      </c>
      <c r="G9" s="1"/>
      <c r="H9" s="17">
        <v>5</v>
      </c>
      <c r="I9" s="17" t="s">
        <v>67</v>
      </c>
      <c r="J9" s="17" t="s">
        <v>40</v>
      </c>
    </row>
    <row r="10" spans="1:10" x14ac:dyDescent="0.15">
      <c r="A10" s="1"/>
      <c r="B10" s="17">
        <v>5</v>
      </c>
      <c r="C10" s="24" t="s">
        <v>62</v>
      </c>
      <c r="D10" s="1"/>
      <c r="E10" s="17">
        <v>5</v>
      </c>
      <c r="F10" s="24" t="s">
        <v>65</v>
      </c>
      <c r="G10" s="1"/>
      <c r="H10" s="17">
        <v>6</v>
      </c>
      <c r="I10" s="17" t="s">
        <v>73</v>
      </c>
      <c r="J10" s="17" t="s">
        <v>37</v>
      </c>
    </row>
    <row r="11" spans="1:10" ht="13.25" customHeight="1" x14ac:dyDescent="0.15">
      <c r="A11" s="1"/>
      <c r="B11" s="17">
        <v>6</v>
      </c>
      <c r="C11" s="24" t="s">
        <v>68</v>
      </c>
      <c r="D11" s="1"/>
      <c r="E11" s="17">
        <v>6</v>
      </c>
      <c r="F11" s="24" t="s">
        <v>71</v>
      </c>
      <c r="G11" s="1"/>
      <c r="H11" s="1"/>
      <c r="I11" s="1"/>
      <c r="J11" s="1"/>
    </row>
    <row r="12" spans="1:10" x14ac:dyDescent="0.15">
      <c r="A12" s="1"/>
      <c r="B12" s="17">
        <v>7</v>
      </c>
      <c r="C12" s="24" t="s">
        <v>74</v>
      </c>
      <c r="D12" s="1"/>
      <c r="E12" s="17">
        <v>7</v>
      </c>
      <c r="F12" s="24" t="s">
        <v>62</v>
      </c>
      <c r="G12" s="1"/>
      <c r="H12" s="1"/>
      <c r="I12" s="1"/>
      <c r="J12" s="1"/>
    </row>
    <row r="13" spans="1:10" x14ac:dyDescent="0.15">
      <c r="A13" s="1"/>
      <c r="B13" s="17">
        <v>8</v>
      </c>
      <c r="C13" s="24" t="s">
        <v>78</v>
      </c>
      <c r="D13" s="1"/>
      <c r="E13" s="17">
        <v>8</v>
      </c>
      <c r="F13" s="24" t="s">
        <v>80</v>
      </c>
      <c r="G13" s="1"/>
      <c r="H13" s="1"/>
      <c r="I13" s="1"/>
      <c r="J13" s="1"/>
    </row>
    <row r="14" spans="1:10" x14ac:dyDescent="0.15">
      <c r="A14" s="1"/>
      <c r="B14" s="17">
        <v>9</v>
      </c>
      <c r="C14" s="24" t="s">
        <v>85</v>
      </c>
      <c r="D14" s="1"/>
      <c r="E14" s="17">
        <v>9</v>
      </c>
      <c r="F14" s="24" t="s">
        <v>88</v>
      </c>
      <c r="G14" s="1"/>
      <c r="H14" s="1"/>
      <c r="I14" s="229"/>
      <c r="J14" s="1"/>
    </row>
    <row r="15" spans="1:10" x14ac:dyDescent="0.15">
      <c r="A15" s="1"/>
      <c r="B15" s="17">
        <v>10</v>
      </c>
      <c r="C15" s="24" t="s">
        <v>92</v>
      </c>
      <c r="D15" s="1"/>
      <c r="E15" s="17">
        <v>10</v>
      </c>
      <c r="F15" s="24" t="s">
        <v>95</v>
      </c>
      <c r="G15" s="1"/>
      <c r="H15" s="1"/>
      <c r="I15" s="229"/>
      <c r="J15" s="1"/>
    </row>
    <row r="16" spans="1:10" x14ac:dyDescent="0.15">
      <c r="A16" s="1"/>
      <c r="B16" s="1"/>
      <c r="C16" s="1"/>
      <c r="D16" s="1"/>
      <c r="E16" s="17">
        <v>11</v>
      </c>
      <c r="F16" s="24" t="s">
        <v>98</v>
      </c>
      <c r="G16" s="1"/>
      <c r="H16" s="1"/>
      <c r="I16" s="229"/>
      <c r="J16" s="1"/>
    </row>
    <row r="17" spans="2:17" x14ac:dyDescent="0.15">
      <c r="B17" s="1"/>
      <c r="C17" s="1"/>
      <c r="D17" s="1"/>
      <c r="E17" s="17">
        <v>12</v>
      </c>
      <c r="F17" s="24" t="s">
        <v>104</v>
      </c>
      <c r="G17" s="1"/>
      <c r="H17" s="1"/>
      <c r="I17" s="229"/>
      <c r="J17" s="1"/>
      <c r="K17" s="1"/>
      <c r="L17" s="1"/>
      <c r="M17" s="1"/>
      <c r="N17" s="1"/>
      <c r="O17" s="1"/>
      <c r="P17" s="1"/>
      <c r="Q17" s="1"/>
    </row>
    <row r="19" spans="2:17" x14ac:dyDescent="0.15">
      <c r="B19" s="1"/>
      <c r="C19" s="1"/>
      <c r="D19" s="1"/>
      <c r="E19" s="1"/>
      <c r="F19" s="1"/>
      <c r="G19" s="1"/>
      <c r="H19" s="1"/>
      <c r="I19" s="23"/>
      <c r="J19" s="1"/>
      <c r="K19" s="1"/>
      <c r="L19" s="1"/>
      <c r="M19" s="1"/>
      <c r="N19" s="1"/>
      <c r="O19" s="1"/>
      <c r="P19" s="1"/>
      <c r="Q19" s="1"/>
    </row>
    <row r="20" spans="2:17" x14ac:dyDescent="0.15">
      <c r="B20" s="2" t="s">
        <v>468</v>
      </c>
      <c r="C20" s="1" t="s">
        <v>469</v>
      </c>
      <c r="D20" s="1">
        <f t="array" ref="D20">MAX(IF(Data!B2:B120&lt;=Front!D2,Data!A2:A120))</f>
        <v>2025</v>
      </c>
      <c r="E20" s="1"/>
      <c r="F20" s="1"/>
      <c r="G20" s="1"/>
      <c r="H20" s="1"/>
      <c r="I20" s="23"/>
      <c r="J20" s="2" t="s">
        <v>470</v>
      </c>
      <c r="K20" s="1">
        <f>IF(MOD(G23,6)=0,6,MOD(G23,6))</f>
        <v>6</v>
      </c>
      <c r="L20" s="1"/>
      <c r="M20" s="1"/>
      <c r="N20" s="1"/>
      <c r="O20" s="1"/>
      <c r="P20" s="1"/>
      <c r="Q20" s="1"/>
    </row>
    <row r="21" spans="2:17" x14ac:dyDescent="0.15">
      <c r="B21" s="1"/>
      <c r="C21" s="1" t="s">
        <v>471</v>
      </c>
      <c r="D21" s="1">
        <f>(D20-1923)</f>
        <v>102</v>
      </c>
      <c r="E21" s="1"/>
      <c r="F21" s="1"/>
      <c r="G21" s="1"/>
      <c r="H21" s="1"/>
      <c r="I21" s="23"/>
      <c r="J21" s="2" t="s">
        <v>472</v>
      </c>
      <c r="K21" s="1" t="str">
        <f>VLOOKUP(K20,H5:J10,3)</f>
        <v>Wood</v>
      </c>
      <c r="L21" s="1"/>
      <c r="M21" s="1"/>
      <c r="N21" s="1"/>
      <c r="O21" s="1"/>
      <c r="P21" s="1"/>
      <c r="Q21" s="1"/>
    </row>
    <row r="22" spans="2:17" x14ac:dyDescent="0.15">
      <c r="B22" s="1"/>
      <c r="C22" s="1"/>
      <c r="D22" s="1"/>
      <c r="E22" s="1"/>
      <c r="F22" s="1"/>
      <c r="G22" s="1"/>
      <c r="H22" s="1"/>
      <c r="I22" s="23"/>
      <c r="J22" s="1"/>
      <c r="K22" s="1"/>
      <c r="L22" s="1"/>
      <c r="M22" s="1"/>
      <c r="N22" s="1"/>
      <c r="O22" s="1"/>
      <c r="P22" s="1"/>
      <c r="Q22" s="1"/>
    </row>
    <row r="23" spans="2:17" x14ac:dyDescent="0.15">
      <c r="B23" s="1"/>
      <c r="C23" s="2" t="s">
        <v>473</v>
      </c>
      <c r="D23" s="1">
        <f>IF(MOD(D21,10)=0,10,MOD(D21,10))</f>
        <v>2</v>
      </c>
      <c r="E23" s="1"/>
      <c r="F23" s="2" t="s">
        <v>474</v>
      </c>
      <c r="G23" s="1">
        <f>IF(MOD(D21,12)=0,12,MOD(D21,12))</f>
        <v>6</v>
      </c>
      <c r="H23" s="1"/>
      <c r="I23" s="23"/>
      <c r="J23" s="1" t="s">
        <v>475</v>
      </c>
      <c r="K23" s="1">
        <f>MOD((IF(D32&gt;6,G23+3,G23)),6)</f>
        <v>0</v>
      </c>
      <c r="L23" s="1"/>
      <c r="M23" s="1"/>
      <c r="N23" s="1"/>
      <c r="O23" s="1"/>
      <c r="P23" s="1"/>
      <c r="Q23" s="1"/>
    </row>
    <row r="24" spans="2:17" x14ac:dyDescent="0.15">
      <c r="B24" s="1"/>
      <c r="C24" s="1" t="s">
        <v>476</v>
      </c>
      <c r="D24" s="1" t="str">
        <f>VLOOKUP(D23,$B$6:$C$15,2)</f>
        <v>Yi</v>
      </c>
      <c r="E24" s="1"/>
      <c r="F24" s="1" t="s">
        <v>477</v>
      </c>
      <c r="G24" s="1" t="str">
        <f>VLOOKUP(G23,$E$6:$F$17,2)</f>
        <v>Si</v>
      </c>
      <c r="H24" s="1"/>
      <c r="I24" s="23"/>
      <c r="J24" s="1" t="s">
        <v>478</v>
      </c>
      <c r="K24" s="1">
        <f>IF(K23=0,6,K23)</f>
        <v>6</v>
      </c>
      <c r="L24" s="1"/>
      <c r="M24" s="1"/>
      <c r="N24" s="1"/>
      <c r="O24" s="1"/>
      <c r="P24" s="1"/>
      <c r="Q24" s="1"/>
    </row>
    <row r="25" spans="2:17" x14ac:dyDescent="0.15">
      <c r="B25" s="1"/>
      <c r="C25" s="1"/>
      <c r="D25" s="1"/>
      <c r="E25" s="1"/>
      <c r="F25" s="1"/>
      <c r="G25" s="1"/>
      <c r="H25" s="23"/>
      <c r="I25" s="23"/>
      <c r="J25" s="1" t="s">
        <v>479</v>
      </c>
      <c r="K25" s="1" t="str">
        <f>VLOOKUP(K24,$H$5:$J$10,2)</f>
        <v>Jue Yin</v>
      </c>
      <c r="L25" s="1"/>
      <c r="M25" s="1"/>
      <c r="N25" s="1"/>
      <c r="O25" s="1"/>
      <c r="P25" s="1"/>
      <c r="Q25" s="1"/>
    </row>
    <row r="26" spans="2:17" x14ac:dyDescent="0.15">
      <c r="B26" s="1"/>
      <c r="C26" s="1"/>
      <c r="D26" s="1"/>
      <c r="E26" s="1"/>
      <c r="F26" s="1"/>
      <c r="G26" s="1"/>
      <c r="H26" s="23"/>
      <c r="I26" s="23"/>
      <c r="J26" s="1"/>
      <c r="K26" s="1"/>
      <c r="L26" s="1"/>
      <c r="M26" s="1"/>
      <c r="N26" s="1"/>
      <c r="O26" s="1"/>
      <c r="P26" s="1"/>
      <c r="Q26" s="1"/>
    </row>
    <row r="27" spans="2:17" x14ac:dyDescent="0.15">
      <c r="B27" s="230"/>
      <c r="C27" s="231"/>
      <c r="D27" s="231"/>
      <c r="E27" s="231"/>
      <c r="F27" s="231"/>
      <c r="G27" s="231"/>
      <c r="H27" s="231"/>
      <c r="I27" s="231"/>
      <c r="J27" s="231"/>
      <c r="K27" s="231"/>
      <c r="L27" s="231"/>
      <c r="M27" s="231"/>
      <c r="N27" s="231"/>
      <c r="O27" s="231"/>
      <c r="P27" s="231"/>
      <c r="Q27" s="232"/>
    </row>
    <row r="28" spans="2:17" x14ac:dyDescent="0.15">
      <c r="B28" s="233"/>
      <c r="C28" s="234"/>
      <c r="D28" s="234">
        <v>1</v>
      </c>
      <c r="E28" s="234">
        <v>2</v>
      </c>
      <c r="F28" s="234">
        <v>3</v>
      </c>
      <c r="G28" s="234">
        <v>4</v>
      </c>
      <c r="H28" s="234">
        <v>5</v>
      </c>
      <c r="I28" s="234">
        <v>6</v>
      </c>
      <c r="J28" s="234">
        <v>7</v>
      </c>
      <c r="K28" s="234">
        <v>8</v>
      </c>
      <c r="L28" s="234">
        <v>9</v>
      </c>
      <c r="M28" s="234">
        <v>10</v>
      </c>
      <c r="N28" s="234">
        <v>11</v>
      </c>
      <c r="O28" s="234">
        <v>12</v>
      </c>
      <c r="P28" s="234">
        <v>13</v>
      </c>
      <c r="Q28" s="235"/>
    </row>
    <row r="29" spans="2:17" x14ac:dyDescent="0.15">
      <c r="B29" s="233"/>
      <c r="C29" s="234" t="s">
        <v>480</v>
      </c>
      <c r="D29" s="236">
        <f>VLOOKUP($D$20,Data!$A$2:$M$120,D28+1)</f>
        <v>44224</v>
      </c>
      <c r="E29" s="236">
        <f>VLOOKUP($D$20,Data!$A$2:$M$120,E28+1)</f>
        <v>44254</v>
      </c>
      <c r="F29" s="236">
        <f>VLOOKUP($D$20,Data!$A$2:$M$120,F28+1)</f>
        <v>44283</v>
      </c>
      <c r="G29" s="236">
        <f>VLOOKUP($D$20,Data!$A$2:$M$120,G28+1)</f>
        <v>44313</v>
      </c>
      <c r="H29" s="236">
        <f>VLOOKUP($D$20,Data!$A$2:$M$120,H28+1)</f>
        <v>44342</v>
      </c>
      <c r="I29" s="236">
        <f>VLOOKUP($D$20,Data!$A$2:$M$120,I28+1)</f>
        <v>44371</v>
      </c>
      <c r="J29" s="236">
        <f>VLOOKUP($D$20,Data!$A$2:$M$120,J28+1)</f>
        <v>44430</v>
      </c>
      <c r="K29" s="236">
        <f>VLOOKUP($D$20,Data!$A$2:$M$120,K28+1)</f>
        <v>44460</v>
      </c>
      <c r="L29" s="236">
        <f>VLOOKUP($D$20,Data!$A$2:$M$120,L28+1)</f>
        <v>44489</v>
      </c>
      <c r="M29" s="236">
        <f>VLOOKUP($D$20,Data!$A$2:$M$120,M28+1)</f>
        <v>44519</v>
      </c>
      <c r="N29" s="236">
        <f>VLOOKUP($D$20,Data!$A$2:$M$120,N28+1)</f>
        <v>44549</v>
      </c>
      <c r="O29" s="236">
        <f>VLOOKUP($D$20,Data!$A$2:$M$120,O28+1)</f>
        <v>44579</v>
      </c>
      <c r="P29" s="236">
        <f>VLOOKUP($D$20,Data!$A$2:$N$120,P28+1)</f>
        <v>44608</v>
      </c>
      <c r="Q29" s="235"/>
    </row>
    <row r="30" spans="2:17" x14ac:dyDescent="0.15">
      <c r="B30" s="237"/>
      <c r="C30" s="238"/>
      <c r="D30" s="238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40"/>
    </row>
    <row r="32" spans="2:17" x14ac:dyDescent="0.15">
      <c r="B32" s="2" t="s">
        <v>481</v>
      </c>
      <c r="C32" s="1" t="s">
        <v>482</v>
      </c>
      <c r="D32" s="1">
        <f t="array" ref="D32">MAX(IF(D29:O29&lt;=Front!D2,Calc!D28:O28))</f>
        <v>6</v>
      </c>
      <c r="E32" s="1"/>
      <c r="F32" s="1" t="s">
        <v>483</v>
      </c>
      <c r="G32" s="1">
        <f>MOD(D32+14,12)</f>
        <v>8</v>
      </c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2" x14ac:dyDescent="0.15">
      <c r="B33" s="1"/>
      <c r="C33" s="1" t="s">
        <v>473</v>
      </c>
      <c r="D33" s="1">
        <f>MOD((2*(MOD(D23,5))+D32),10)</f>
        <v>0</v>
      </c>
      <c r="E33" s="1"/>
      <c r="F33" s="1" t="s">
        <v>484</v>
      </c>
      <c r="G33" s="1">
        <f>IF(G32=0,12,G32)</f>
        <v>8</v>
      </c>
      <c r="H33" s="1"/>
      <c r="I33" s="241"/>
      <c r="J33" s="1"/>
      <c r="K33" s="1"/>
      <c r="L33" s="1"/>
    </row>
    <row r="34" spans="2:12" x14ac:dyDescent="0.15">
      <c r="B34" s="1"/>
      <c r="C34" s="1" t="s">
        <v>485</v>
      </c>
      <c r="D34" s="1">
        <f>IF(D33=0,10,D33)</f>
        <v>10</v>
      </c>
      <c r="E34" s="1"/>
      <c r="F34" s="1"/>
      <c r="G34" s="1"/>
      <c r="H34" s="1"/>
      <c r="I34" s="1"/>
      <c r="J34" s="1"/>
      <c r="K34" s="1"/>
      <c r="L34" s="1"/>
    </row>
    <row r="35" spans="2:12" x14ac:dyDescent="0.15">
      <c r="B35" s="1"/>
      <c r="C35" s="1" t="s">
        <v>476</v>
      </c>
      <c r="D35" s="1" t="str">
        <f>VLOOKUP(D34,$B$6:$C$15,2)</f>
        <v>Gui</v>
      </c>
      <c r="E35" s="1"/>
      <c r="F35" s="1" t="s">
        <v>477</v>
      </c>
      <c r="G35" s="1" t="str">
        <f>VLOOKUP(G33,$E$6:$F$17,2)</f>
        <v>Wei</v>
      </c>
      <c r="H35" s="1"/>
      <c r="I35" s="23"/>
      <c r="J35" s="1"/>
      <c r="K35" s="1"/>
      <c r="L35" s="1"/>
    </row>
    <row r="36" spans="2:12" x14ac:dyDescent="0.15">
      <c r="B36" s="1"/>
      <c r="C36" s="1"/>
      <c r="D36" s="1"/>
      <c r="E36" s="1"/>
      <c r="F36" s="1"/>
      <c r="G36" s="1"/>
      <c r="H36" s="1"/>
      <c r="I36" s="242"/>
      <c r="J36" s="1"/>
      <c r="K36" s="1"/>
      <c r="L36" s="1"/>
    </row>
    <row r="37" spans="2:12" x14ac:dyDescent="0.15">
      <c r="B37" s="2" t="s">
        <v>381</v>
      </c>
      <c r="C37" s="1" t="s">
        <v>471</v>
      </c>
      <c r="D37" s="1">
        <f>IF(MOD((Front!D2-29),60)=0,60,MOD((Front!D2-29),60))</f>
        <v>4</v>
      </c>
      <c r="E37" s="1"/>
      <c r="F37" s="1"/>
      <c r="G37" s="1"/>
      <c r="H37" s="1"/>
      <c r="I37" s="1"/>
      <c r="J37" s="1"/>
      <c r="K37" s="1"/>
      <c r="L37" s="1"/>
    </row>
    <row r="38" spans="2:12" x14ac:dyDescent="0.15">
      <c r="B38" s="2"/>
      <c r="C38" s="1" t="s">
        <v>486</v>
      </c>
      <c r="D38" s="1">
        <f>IF(D49=13,D37+0,D37)</f>
        <v>4</v>
      </c>
      <c r="E38" s="1"/>
      <c r="F38" s="1"/>
      <c r="G38" s="1"/>
      <c r="H38" s="1"/>
      <c r="I38" s="1"/>
      <c r="J38" s="1"/>
      <c r="K38" s="1"/>
      <c r="L38" s="1"/>
    </row>
    <row r="39" spans="2:12" x14ac:dyDescent="0.15">
      <c r="B39" s="1"/>
      <c r="C39" s="1" t="s">
        <v>473</v>
      </c>
      <c r="D39" s="1">
        <f>IF(MOD(D38,10)=0,10,MOD(D38,10))</f>
        <v>4</v>
      </c>
      <c r="E39" s="1"/>
      <c r="F39" s="243" t="s">
        <v>484</v>
      </c>
      <c r="G39" s="1">
        <f>IF(MOD(D38,12)=0,12,MOD(D38,12))</f>
        <v>4</v>
      </c>
      <c r="H39" s="1"/>
      <c r="I39" s="1"/>
      <c r="J39" s="1"/>
      <c r="K39" s="1"/>
      <c r="L39" s="1"/>
    </row>
    <row r="40" spans="2:12" x14ac:dyDescent="0.15">
      <c r="B40" s="1"/>
      <c r="C40" s="1" t="s">
        <v>476</v>
      </c>
      <c r="D40" s="1" t="str">
        <f>VLOOKUP(D39,$B$6:$C$15,2)</f>
        <v>Ding</v>
      </c>
      <c r="E40" s="1"/>
      <c r="F40" s="1" t="s">
        <v>477</v>
      </c>
      <c r="G40" s="1" t="str">
        <f>VLOOKUP(G39,$E$6:$F$17,2)</f>
        <v>Mao</v>
      </c>
      <c r="H40" s="1"/>
      <c r="I40" s="23"/>
      <c r="J40" s="1"/>
      <c r="K40" s="1"/>
      <c r="L40" s="1"/>
    </row>
    <row r="41" spans="2:12" x14ac:dyDescent="0.15">
      <c r="B41" s="1"/>
      <c r="C41" s="1"/>
      <c r="D41" s="1"/>
      <c r="E41" s="1"/>
      <c r="F41" s="1"/>
      <c r="G41" s="1"/>
      <c r="H41" s="1"/>
      <c r="I41" s="23"/>
      <c r="J41" s="1"/>
      <c r="K41" s="1"/>
      <c r="L41" s="1"/>
    </row>
    <row r="42" spans="2:12" x14ac:dyDescent="0.15">
      <c r="B42" s="244"/>
      <c r="C42" s="245"/>
      <c r="D42" s="245"/>
      <c r="E42" s="245"/>
      <c r="F42" s="245"/>
      <c r="G42" s="245"/>
      <c r="H42" s="245"/>
      <c r="I42" s="246"/>
      <c r="J42" s="1"/>
      <c r="K42" s="1"/>
      <c r="L42" s="1"/>
    </row>
    <row r="43" spans="2:12" x14ac:dyDescent="0.15">
      <c r="B43" s="247"/>
      <c r="C43" s="87" t="s">
        <v>487</v>
      </c>
      <c r="D43" s="248" t="s">
        <v>486</v>
      </c>
      <c r="E43" s="248">
        <f>IF(D49=13,D37+1,D37)</f>
        <v>5</v>
      </c>
      <c r="F43" s="248"/>
      <c r="G43" s="248"/>
      <c r="H43" s="248"/>
      <c r="I43" s="249"/>
      <c r="J43" s="1"/>
      <c r="K43" s="1"/>
      <c r="L43" s="1"/>
    </row>
    <row r="44" spans="2:12" x14ac:dyDescent="0.15">
      <c r="B44" s="247"/>
      <c r="C44" s="248"/>
      <c r="D44" s="248" t="s">
        <v>473</v>
      </c>
      <c r="E44" s="248">
        <f>IF(MOD(E43,10)=0,10,MOD(E43,10))</f>
        <v>5</v>
      </c>
      <c r="F44" s="248"/>
      <c r="G44" s="250" t="s">
        <v>484</v>
      </c>
      <c r="H44" s="248">
        <f>IF(MOD(E43,12)=D389,12,MOD(E43,12))</f>
        <v>5</v>
      </c>
      <c r="I44" s="249"/>
      <c r="J44" s="1"/>
      <c r="K44" s="1"/>
      <c r="L44" s="1"/>
    </row>
    <row r="45" spans="2:12" x14ac:dyDescent="0.15">
      <c r="B45" s="247"/>
      <c r="C45" s="248"/>
      <c r="D45" s="248" t="s">
        <v>476</v>
      </c>
      <c r="E45" s="248" t="str">
        <f>VLOOKUP(E44,$B$6:$C$15,2)</f>
        <v>Wu</v>
      </c>
      <c r="F45" s="248"/>
      <c r="G45" s="248" t="s">
        <v>477</v>
      </c>
      <c r="H45" s="248" t="str">
        <f>VLOOKUP(H44,$E$6:$F$17,2)</f>
        <v>Chen</v>
      </c>
      <c r="I45" s="249"/>
      <c r="J45" s="1"/>
      <c r="K45" s="1"/>
      <c r="L45" s="1"/>
    </row>
    <row r="46" spans="2:12" x14ac:dyDescent="0.15">
      <c r="B46" s="251"/>
      <c r="C46" s="252"/>
      <c r="D46" s="252"/>
      <c r="E46" s="252"/>
      <c r="F46" s="252"/>
      <c r="G46" s="252"/>
      <c r="H46" s="252"/>
      <c r="I46" s="253"/>
      <c r="J46" s="1"/>
      <c r="K46" s="254"/>
      <c r="L46" s="255"/>
    </row>
    <row r="47" spans="2:12" x14ac:dyDescent="0.15">
      <c r="B47" s="1"/>
      <c r="C47" s="1"/>
      <c r="D47" s="1"/>
      <c r="E47" s="1"/>
      <c r="F47" s="1"/>
      <c r="G47" s="1"/>
      <c r="H47" s="1"/>
      <c r="I47" s="1"/>
      <c r="J47" s="1"/>
      <c r="K47" s="247">
        <v>1</v>
      </c>
      <c r="L47" s="256">
        <v>0</v>
      </c>
    </row>
    <row r="48" spans="2:12" x14ac:dyDescent="0.15">
      <c r="B48" s="1"/>
      <c r="C48" s="1"/>
      <c r="D48" s="1"/>
      <c r="E48" s="1"/>
      <c r="F48" s="1"/>
      <c r="G48" s="1"/>
      <c r="H48" s="1"/>
      <c r="I48" s="23"/>
      <c r="J48" s="1"/>
      <c r="K48" s="247">
        <v>2</v>
      </c>
      <c r="L48" s="256">
        <v>4.1666666666666664E-2</v>
      </c>
    </row>
    <row r="49" spans="2:12" x14ac:dyDescent="0.15">
      <c r="B49" s="2" t="s">
        <v>382</v>
      </c>
      <c r="C49" s="1" t="s">
        <v>488</v>
      </c>
      <c r="D49" s="1">
        <f t="array" ref="D49">MAX(IF(Calc!L47:L59&lt;=Front!D3,Calc!K47:K59))</f>
        <v>13</v>
      </c>
      <c r="E49" s="1"/>
      <c r="F49" s="3"/>
      <c r="G49" s="1"/>
      <c r="H49" s="1"/>
      <c r="I49" s="23"/>
      <c r="J49" s="1"/>
      <c r="K49" s="247">
        <v>3</v>
      </c>
      <c r="L49" s="256">
        <v>0.125</v>
      </c>
    </row>
    <row r="50" spans="2:12" x14ac:dyDescent="0.15">
      <c r="B50" s="2"/>
      <c r="C50" s="1" t="s">
        <v>486</v>
      </c>
      <c r="D50" s="1">
        <f>IF(D49=13,1,D49)</f>
        <v>1</v>
      </c>
      <c r="E50" s="1"/>
      <c r="F50" s="3"/>
      <c r="G50" s="1"/>
      <c r="H50" s="1"/>
      <c r="I50" s="23"/>
      <c r="J50" s="1"/>
      <c r="K50" s="247">
        <v>4</v>
      </c>
      <c r="L50" s="256">
        <v>0.20833333333333334</v>
      </c>
    </row>
    <row r="51" spans="2:12" x14ac:dyDescent="0.15">
      <c r="B51" s="1"/>
      <c r="C51" s="1" t="s">
        <v>473</v>
      </c>
      <c r="D51" s="1">
        <f>MOD(((MOD(D39,5)*2)+D49-2),10)</f>
        <v>9</v>
      </c>
      <c r="E51" s="1"/>
      <c r="F51" s="3"/>
      <c r="G51" s="1"/>
      <c r="H51" s="1"/>
      <c r="I51" s="23"/>
      <c r="J51" s="1"/>
      <c r="K51" s="247">
        <v>5</v>
      </c>
      <c r="L51" s="256">
        <v>0.29166666666666669</v>
      </c>
    </row>
    <row r="52" spans="2:12" x14ac:dyDescent="0.15">
      <c r="B52" s="1"/>
      <c r="C52" s="1" t="s">
        <v>489</v>
      </c>
      <c r="D52" s="1">
        <f>IF(D51=0,10,D51)</f>
        <v>9</v>
      </c>
      <c r="E52" s="1"/>
      <c r="F52" s="1"/>
      <c r="G52" s="1"/>
      <c r="H52" s="1"/>
      <c r="I52" s="23"/>
      <c r="J52" s="1"/>
      <c r="K52" s="247">
        <v>6</v>
      </c>
      <c r="L52" s="256">
        <v>0.375</v>
      </c>
    </row>
    <row r="53" spans="2:12" x14ac:dyDescent="0.15">
      <c r="B53" s="1"/>
      <c r="C53" s="1" t="s">
        <v>476</v>
      </c>
      <c r="D53" s="1" t="str">
        <f>IF(Front!D3="","",VLOOKUP(D52,$B$6:$C$15,2))</f>
        <v>Ren</v>
      </c>
      <c r="E53" s="1"/>
      <c r="F53" s="1" t="s">
        <v>477</v>
      </c>
      <c r="G53" s="1" t="str">
        <f>IF(Front!D3="","",VLOOKUP(D50,$E$6:$F$17,2))</f>
        <v>Zi</v>
      </c>
      <c r="H53" s="1"/>
      <c r="I53" s="23"/>
      <c r="J53" s="1"/>
      <c r="K53" s="247">
        <v>7</v>
      </c>
      <c r="L53" s="256">
        <v>0.45833333333333331</v>
      </c>
    </row>
    <row r="54" spans="2:12" x14ac:dyDescent="0.15">
      <c r="B54" s="1"/>
      <c r="C54" s="1"/>
      <c r="D54" s="1"/>
      <c r="E54" s="1"/>
      <c r="F54" s="1"/>
      <c r="G54" s="1"/>
      <c r="H54" s="1"/>
      <c r="I54" s="23"/>
      <c r="J54" s="1"/>
      <c r="K54" s="247">
        <v>8</v>
      </c>
      <c r="L54" s="256">
        <v>0.54166666666666663</v>
      </c>
    </row>
    <row r="55" spans="2:12" x14ac:dyDescent="0.15">
      <c r="B55" s="1"/>
      <c r="C55" s="1"/>
      <c r="D55" s="1"/>
      <c r="E55" s="1"/>
      <c r="F55" s="1"/>
      <c r="G55" s="1"/>
      <c r="H55" s="1"/>
      <c r="I55" s="1"/>
      <c r="J55" s="1"/>
      <c r="K55" s="247">
        <v>9</v>
      </c>
      <c r="L55" s="256">
        <v>0.625</v>
      </c>
    </row>
    <row r="56" spans="2:12" x14ac:dyDescent="0.15">
      <c r="B56" s="257"/>
      <c r="C56" s="258"/>
      <c r="D56" s="258"/>
      <c r="E56" s="258"/>
      <c r="F56" s="258"/>
      <c r="G56" s="258"/>
      <c r="H56" s="258"/>
      <c r="I56" s="259"/>
      <c r="J56" s="1"/>
      <c r="K56" s="247">
        <v>10</v>
      </c>
      <c r="L56" s="256">
        <v>0.70833333333333337</v>
      </c>
    </row>
    <row r="57" spans="2:12" x14ac:dyDescent="0.15">
      <c r="B57" s="260"/>
      <c r="C57" s="189" t="s">
        <v>490</v>
      </c>
      <c r="D57" s="190" t="s">
        <v>473</v>
      </c>
      <c r="E57" s="190">
        <f>MOD(((MOD(E44,5)*2)+D49-2),10)</f>
        <v>1</v>
      </c>
      <c r="F57" s="190"/>
      <c r="G57" s="190"/>
      <c r="H57" s="190"/>
      <c r="I57" s="261"/>
      <c r="J57" s="1"/>
      <c r="K57" s="247">
        <v>11</v>
      </c>
      <c r="L57" s="256">
        <v>0.79166666666666663</v>
      </c>
    </row>
    <row r="58" spans="2:12" x14ac:dyDescent="0.15">
      <c r="B58" s="260"/>
      <c r="C58" s="190"/>
      <c r="D58" s="190" t="s">
        <v>489</v>
      </c>
      <c r="E58" s="190">
        <f>IF(E57=0,10,E57)</f>
        <v>1</v>
      </c>
      <c r="F58" s="190"/>
      <c r="G58" s="190"/>
      <c r="H58" s="190"/>
      <c r="I58" s="261"/>
      <c r="J58" s="1"/>
      <c r="K58" s="247">
        <v>12</v>
      </c>
      <c r="L58" s="256">
        <v>0.875</v>
      </c>
    </row>
    <row r="59" spans="2:12" x14ac:dyDescent="0.15">
      <c r="B59" s="260"/>
      <c r="C59" s="190"/>
      <c r="D59" s="190" t="s">
        <v>476</v>
      </c>
      <c r="E59" s="190" t="str">
        <f>VLOOKUP(E58,$B$6:$C$15,2)</f>
        <v>Jia</v>
      </c>
      <c r="F59" s="190"/>
      <c r="G59" s="190" t="s">
        <v>477</v>
      </c>
      <c r="H59" s="190" t="str">
        <f>VLOOKUP(D50,$E$6:$F$17,2)</f>
        <v>Zi</v>
      </c>
      <c r="I59" s="261"/>
      <c r="J59" s="1"/>
      <c r="K59" s="247">
        <v>13</v>
      </c>
      <c r="L59" s="256">
        <v>0.95833333333333337</v>
      </c>
    </row>
    <row r="60" spans="2:12" x14ac:dyDescent="0.15">
      <c r="B60" s="262"/>
      <c r="C60" s="191"/>
      <c r="D60" s="191"/>
      <c r="E60" s="191"/>
      <c r="F60" s="191"/>
      <c r="G60" s="191"/>
      <c r="H60" s="191"/>
      <c r="I60" s="263"/>
      <c r="J60" s="1"/>
      <c r="K60" s="251"/>
      <c r="L60" s="264"/>
    </row>
    <row r="62" spans="2:12" s="1" customFormat="1" ht="16" x14ac:dyDescent="0.2">
      <c r="B62" s="20"/>
    </row>
    <row r="63" spans="2:12" s="1" customFormat="1" x14ac:dyDescent="0.15"/>
    <row r="64" spans="2:12" s="1" customFormat="1" x14ac:dyDescent="0.15">
      <c r="L64" s="2"/>
    </row>
    <row r="65" spans="11:14" s="1" customFormat="1" x14ac:dyDescent="0.15"/>
    <row r="66" spans="11:14" s="1" customFormat="1" x14ac:dyDescent="0.15"/>
    <row r="67" spans="11:14" s="1" customFormat="1" x14ac:dyDescent="0.15"/>
    <row r="68" spans="11:14" s="1" customFormat="1" x14ac:dyDescent="0.15"/>
    <row r="69" spans="11:14" s="1" customFormat="1" x14ac:dyDescent="0.15"/>
    <row r="70" spans="11:14" s="1" customFormat="1" x14ac:dyDescent="0.15"/>
    <row r="71" spans="11:14" s="1" customFormat="1" x14ac:dyDescent="0.15"/>
    <row r="72" spans="11:14" s="1" customFormat="1" x14ac:dyDescent="0.15"/>
    <row r="74" spans="11:14" s="1" customFormat="1" x14ac:dyDescent="0.15">
      <c r="K74" s="19"/>
      <c r="L74" s="19"/>
      <c r="M74" s="19"/>
      <c r="N74" s="19"/>
    </row>
    <row r="75" spans="11:14" s="1" customFormat="1" x14ac:dyDescent="0.15">
      <c r="K75" s="19"/>
      <c r="L75" s="19"/>
      <c r="M75" s="19"/>
      <c r="N75" s="19"/>
    </row>
    <row r="76" spans="11:14" s="1" customFormat="1" x14ac:dyDescent="0.15">
      <c r="K76" s="19"/>
      <c r="L76" s="19"/>
      <c r="M76" s="19"/>
      <c r="N76" s="19"/>
    </row>
    <row r="77" spans="11:14" s="1" customFormat="1" x14ac:dyDescent="0.15">
      <c r="K77" s="19"/>
      <c r="L77" s="19"/>
      <c r="M77" s="19"/>
      <c r="N77" s="19"/>
    </row>
    <row r="78" spans="11:14" s="1" customFormat="1" x14ac:dyDescent="0.15">
      <c r="K78" s="19"/>
      <c r="L78" s="19"/>
      <c r="M78" s="19"/>
      <c r="N78" s="19"/>
    </row>
    <row r="79" spans="11:14" s="1" customFormat="1" x14ac:dyDescent="0.15">
      <c r="K79" s="19"/>
      <c r="L79" s="19"/>
      <c r="M79" s="19"/>
      <c r="N79" s="19"/>
    </row>
    <row r="80" spans="11:14" s="1" customFormat="1" x14ac:dyDescent="0.15">
      <c r="K80" s="19"/>
      <c r="L80" s="19"/>
      <c r="M80" s="19"/>
      <c r="N80" s="19"/>
    </row>
    <row r="81" spans="11:18" s="1" customFormat="1" x14ac:dyDescent="0.15">
      <c r="K81" s="19"/>
      <c r="L81" s="19"/>
      <c r="M81" s="19"/>
      <c r="N81" s="19"/>
    </row>
    <row r="82" spans="11:18" s="1" customFormat="1" x14ac:dyDescent="0.15">
      <c r="K82" s="19"/>
      <c r="L82" s="19"/>
      <c r="M82" s="19"/>
      <c r="N82" s="19"/>
    </row>
    <row r="83" spans="11:18" s="1" customFormat="1" x14ac:dyDescent="0.15">
      <c r="K83" s="19"/>
      <c r="L83" s="19"/>
      <c r="M83" s="19"/>
      <c r="N83" s="19"/>
    </row>
    <row r="84" spans="11:18" s="1" customFormat="1" x14ac:dyDescent="0.15">
      <c r="K84" s="19"/>
      <c r="L84" s="19"/>
      <c r="M84" s="19"/>
      <c r="N84" s="19"/>
    </row>
    <row r="85" spans="11:18" s="1" customFormat="1" x14ac:dyDescent="0.15">
      <c r="K85" s="19"/>
      <c r="L85" s="19"/>
      <c r="M85" s="19"/>
      <c r="N85" s="19"/>
    </row>
    <row r="86" spans="11:18" s="1" customFormat="1" x14ac:dyDescent="0.15">
      <c r="K86" s="19"/>
      <c r="L86" s="19"/>
      <c r="M86" s="19"/>
      <c r="N86" s="19"/>
    </row>
    <row r="87" spans="11:18" s="1" customFormat="1" x14ac:dyDescent="0.15">
      <c r="K87" s="19"/>
      <c r="L87" s="19"/>
      <c r="M87" s="19"/>
      <c r="N87" s="19"/>
    </row>
    <row r="94" spans="11:18" x14ac:dyDescent="0.15">
      <c r="K94" s="1"/>
      <c r="L94" s="1"/>
      <c r="M94" s="1"/>
      <c r="N94" s="1"/>
      <c r="O94" s="1"/>
      <c r="P94" s="1"/>
      <c r="Q94" s="1"/>
      <c r="R94" s="1"/>
    </row>
    <row r="95" spans="11:18" x14ac:dyDescent="0.15">
      <c r="K95" s="1"/>
      <c r="L95" s="1"/>
      <c r="M95" s="1"/>
      <c r="N95" s="1"/>
      <c r="O95" s="1"/>
      <c r="P95" s="23"/>
      <c r="Q95" s="23"/>
      <c r="R95" s="23"/>
    </row>
    <row r="96" spans="11:18" x14ac:dyDescent="0.15">
      <c r="K96" s="1"/>
      <c r="L96" s="1"/>
      <c r="M96" s="1"/>
      <c r="N96" s="1"/>
      <c r="O96" s="1"/>
      <c r="P96" s="23"/>
      <c r="Q96" s="23"/>
      <c r="R96" s="23"/>
    </row>
    <row r="97" spans="16:18" x14ac:dyDescent="0.15">
      <c r="P97" s="23"/>
      <c r="Q97" s="23"/>
      <c r="R97" s="23"/>
    </row>
    <row r="98" spans="16:18" x14ac:dyDescent="0.15">
      <c r="P98" s="23"/>
      <c r="Q98" s="23"/>
      <c r="R98" s="23"/>
    </row>
    <row r="99" spans="16:18" x14ac:dyDescent="0.15">
      <c r="P99" s="23"/>
      <c r="Q99" s="23"/>
      <c r="R99" s="23"/>
    </row>
    <row r="100" spans="16:18" x14ac:dyDescent="0.15">
      <c r="P100" s="23"/>
      <c r="Q100" s="23"/>
      <c r="R100" s="23"/>
    </row>
    <row r="101" spans="16:18" x14ac:dyDescent="0.15">
      <c r="P101" s="23"/>
      <c r="Q101" s="23"/>
      <c r="R101" s="23"/>
    </row>
    <row r="102" spans="16:18" x14ac:dyDescent="0.15">
      <c r="P102" s="23"/>
      <c r="Q102" s="23"/>
      <c r="R102" s="23"/>
    </row>
    <row r="103" spans="16:18" x14ac:dyDescent="0.15">
      <c r="P103" s="23"/>
      <c r="Q103" s="23"/>
      <c r="R103" s="23"/>
    </row>
    <row r="104" spans="16:18" x14ac:dyDescent="0.15">
      <c r="P104" s="23"/>
      <c r="Q104" s="23"/>
      <c r="R104" s="23"/>
    </row>
    <row r="105" spans="16:18" x14ac:dyDescent="0.15">
      <c r="P105" s="23"/>
      <c r="Q105" s="23"/>
      <c r="R105" s="23"/>
    </row>
    <row r="106" spans="16:18" x14ac:dyDescent="0.15">
      <c r="P106" s="23"/>
      <c r="Q106" s="23"/>
      <c r="R106" s="23"/>
    </row>
    <row r="107" spans="16:18" x14ac:dyDescent="0.15">
      <c r="P107" s="23"/>
      <c r="Q107" s="23"/>
      <c r="R107" s="23"/>
    </row>
    <row r="108" spans="16:18" x14ac:dyDescent="0.15">
      <c r="P108" s="23"/>
      <c r="Q108" s="23"/>
      <c r="R108" s="23"/>
    </row>
    <row r="109" spans="16:18" x14ac:dyDescent="0.15">
      <c r="P109" s="23"/>
      <c r="Q109" s="23"/>
      <c r="R109" s="23"/>
    </row>
    <row r="110" spans="16:18" x14ac:dyDescent="0.15">
      <c r="P110" s="23"/>
      <c r="Q110" s="23"/>
      <c r="R110" s="23"/>
    </row>
    <row r="111" spans="16:18" x14ac:dyDescent="0.15">
      <c r="P111" s="23"/>
      <c r="Q111" s="23"/>
      <c r="R111" s="23"/>
    </row>
    <row r="112" spans="16:18" x14ac:dyDescent="0.15">
      <c r="P112" s="23"/>
      <c r="Q112" s="23"/>
      <c r="R112" s="23"/>
    </row>
    <row r="113" spans="16:18" x14ac:dyDescent="0.15">
      <c r="P113" s="23"/>
      <c r="Q113" s="23"/>
      <c r="R113" s="23"/>
    </row>
    <row r="114" spans="16:18" x14ac:dyDescent="0.15">
      <c r="P114" s="23"/>
      <c r="Q114" s="23"/>
      <c r="R114" s="23"/>
    </row>
    <row r="115" spans="16:18" x14ac:dyDescent="0.15">
      <c r="P115" s="23"/>
      <c r="Q115" s="23"/>
      <c r="R115" s="23"/>
    </row>
    <row r="116" spans="16:18" x14ac:dyDescent="0.15">
      <c r="P116" s="23"/>
      <c r="Q116" s="23"/>
      <c r="R116" s="23"/>
    </row>
    <row r="117" spans="16:18" x14ac:dyDescent="0.15">
      <c r="P117" s="23"/>
      <c r="Q117" s="23"/>
      <c r="R117" s="23"/>
    </row>
    <row r="118" spans="16:18" x14ac:dyDescent="0.15">
      <c r="P118" s="23"/>
      <c r="Q118" s="23"/>
      <c r="R118" s="23"/>
    </row>
    <row r="119" spans="16:18" x14ac:dyDescent="0.15">
      <c r="P119" s="23"/>
      <c r="Q119" s="23"/>
      <c r="R119" s="23"/>
    </row>
    <row r="120" spans="16:18" x14ac:dyDescent="0.15">
      <c r="P120" s="23"/>
      <c r="Q120" s="23"/>
      <c r="R120" s="23"/>
    </row>
    <row r="121" spans="16:18" x14ac:dyDescent="0.15">
      <c r="P121" s="23"/>
      <c r="Q121" s="23"/>
      <c r="R121" s="23"/>
    </row>
    <row r="122" spans="16:18" x14ac:dyDescent="0.15">
      <c r="P122" s="23"/>
      <c r="Q122" s="23"/>
      <c r="R122" s="23"/>
    </row>
    <row r="123" spans="16:18" x14ac:dyDescent="0.15">
      <c r="P123" s="23"/>
      <c r="Q123" s="23"/>
      <c r="R123" s="23"/>
    </row>
    <row r="124" spans="16:18" x14ac:dyDescent="0.15">
      <c r="P124" s="23"/>
      <c r="Q124" s="23"/>
      <c r="R124" s="23"/>
    </row>
    <row r="125" spans="16:18" x14ac:dyDescent="0.15">
      <c r="P125" s="23"/>
      <c r="Q125" s="23"/>
      <c r="R125" s="23"/>
    </row>
    <row r="126" spans="16:18" x14ac:dyDescent="0.15">
      <c r="P126" s="23"/>
      <c r="Q126" s="23"/>
      <c r="R126" s="23"/>
    </row>
    <row r="127" spans="16:18" x14ac:dyDescent="0.15">
      <c r="P127" s="23"/>
      <c r="Q127" s="23"/>
      <c r="R127" s="23"/>
    </row>
    <row r="128" spans="16:18" x14ac:dyDescent="0.15">
      <c r="P128" s="23"/>
      <c r="Q128" s="23"/>
      <c r="R128" s="23"/>
    </row>
    <row r="129" spans="3:18" x14ac:dyDescent="0.15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23"/>
      <c r="Q129" s="23"/>
      <c r="R129" s="23"/>
    </row>
    <row r="130" spans="3:18" x14ac:dyDescent="0.15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23"/>
      <c r="Q130" s="23"/>
      <c r="R130" s="23"/>
    </row>
    <row r="131" spans="3:18" x14ac:dyDescent="0.15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23"/>
      <c r="Q131" s="23"/>
      <c r="R131" s="23"/>
    </row>
    <row r="132" spans="3:18" x14ac:dyDescent="0.15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23"/>
      <c r="Q132" s="23"/>
      <c r="R132" s="23"/>
    </row>
    <row r="133" spans="3:18" x14ac:dyDescent="0.15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23"/>
      <c r="Q133" s="23"/>
      <c r="R133" s="23"/>
    </row>
    <row r="134" spans="3:18" x14ac:dyDescent="0.15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23"/>
      <c r="Q134" s="23"/>
      <c r="R134" s="23"/>
    </row>
    <row r="135" spans="3:18" x14ac:dyDescent="0.15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23"/>
      <c r="Q135" s="23"/>
      <c r="R135" s="23"/>
    </row>
    <row r="136" spans="3:18" x14ac:dyDescent="0.15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23"/>
      <c r="Q136" s="23"/>
      <c r="R136" s="23"/>
    </row>
    <row r="137" spans="3:18" x14ac:dyDescent="0.15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23"/>
      <c r="Q137" s="23"/>
      <c r="R137" s="23"/>
    </row>
    <row r="138" spans="3:18" x14ac:dyDescent="0.15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23"/>
      <c r="Q138" s="23"/>
      <c r="R138" s="23"/>
    </row>
    <row r="139" spans="3:18" x14ac:dyDescent="0.15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23"/>
      <c r="Q139" s="23"/>
      <c r="R139" s="23"/>
    </row>
    <row r="140" spans="3:18" x14ac:dyDescent="0.15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23"/>
      <c r="Q140" s="23"/>
      <c r="R140" s="23"/>
    </row>
    <row r="141" spans="3:18" x14ac:dyDescent="0.15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23"/>
      <c r="Q141" s="23"/>
      <c r="R141" s="23"/>
    </row>
    <row r="142" spans="3:18" x14ac:dyDescent="0.15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23"/>
      <c r="Q142" s="23"/>
      <c r="R142" s="23"/>
    </row>
    <row r="143" spans="3:18" x14ac:dyDescent="0.15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23"/>
      <c r="Q143" s="23"/>
      <c r="R143" s="23"/>
    </row>
    <row r="144" spans="3:18" x14ac:dyDescent="0.15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23"/>
      <c r="Q144" s="23"/>
      <c r="R144" s="23"/>
    </row>
    <row r="145" spans="2:18" x14ac:dyDescent="0.15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23"/>
      <c r="Q145" s="23"/>
      <c r="R145" s="23"/>
    </row>
    <row r="146" spans="2:18" x14ac:dyDescent="0.15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23"/>
      <c r="Q146" s="23"/>
      <c r="R146" s="23"/>
    </row>
    <row r="147" spans="2:18" x14ac:dyDescent="0.15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23"/>
      <c r="Q147" s="23"/>
      <c r="R147" s="23"/>
    </row>
    <row r="148" spans="2:18" x14ac:dyDescent="0.15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23"/>
      <c r="Q148" s="23"/>
      <c r="R148" s="23"/>
    </row>
    <row r="149" spans="2:18" x14ac:dyDescent="0.15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23"/>
      <c r="Q149" s="23"/>
      <c r="R149" s="23"/>
    </row>
    <row r="150" spans="2:18" x14ac:dyDescent="0.15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23"/>
      <c r="Q150" s="23"/>
      <c r="R150" s="23"/>
    </row>
    <row r="151" spans="2:18" x14ac:dyDescent="0.15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23"/>
      <c r="Q151" s="23"/>
      <c r="R151" s="23"/>
    </row>
    <row r="152" spans="2:18" x14ac:dyDescent="0.15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23"/>
      <c r="Q152" s="23"/>
      <c r="R152" s="23"/>
    </row>
    <row r="153" spans="2:18" x14ac:dyDescent="0.15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23"/>
      <c r="Q153" s="23"/>
      <c r="R153" s="23"/>
    </row>
    <row r="154" spans="2:18" x14ac:dyDescent="0.15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23"/>
      <c r="Q154" s="23"/>
      <c r="R154" s="23"/>
    </row>
    <row r="156" spans="2:18" x14ac:dyDescent="0.15">
      <c r="B156" s="2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2:18" ht="14" x14ac:dyDescent="0.2">
      <c r="B157" s="2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20"/>
  <sheetViews>
    <sheetView topLeftCell="A106" zoomScale="218" zoomScaleNormal="140" workbookViewId="0">
      <selection activeCell="A107" sqref="A107:XFD107"/>
    </sheetView>
  </sheetViews>
  <sheetFormatPr baseColWidth="10" defaultColWidth="11.33203125" defaultRowHeight="12" x14ac:dyDescent="0.15"/>
  <cols>
    <col min="1" max="16384" width="11.33203125" style="23"/>
  </cols>
  <sheetData>
    <row r="1" spans="1:14" x14ac:dyDescent="0.15">
      <c r="B1" s="25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H1" s="25">
        <v>7</v>
      </c>
      <c r="I1" s="25">
        <v>8</v>
      </c>
      <c r="J1" s="25">
        <v>9</v>
      </c>
      <c r="K1" s="25">
        <v>10</v>
      </c>
      <c r="L1" s="25">
        <v>11</v>
      </c>
      <c r="M1" s="25">
        <v>12</v>
      </c>
      <c r="N1" s="80" t="s">
        <v>491</v>
      </c>
    </row>
    <row r="2" spans="1:14" x14ac:dyDescent="0.15">
      <c r="A2" s="23">
        <v>1925</v>
      </c>
      <c r="B2" s="81">
        <v>7694</v>
      </c>
      <c r="C2" s="81">
        <v>7724</v>
      </c>
      <c r="D2" s="81">
        <v>7753</v>
      </c>
      <c r="E2" s="81">
        <v>7783</v>
      </c>
      <c r="F2" s="81">
        <v>7842</v>
      </c>
      <c r="G2" s="81">
        <v>7872</v>
      </c>
      <c r="H2" s="81">
        <v>7901</v>
      </c>
      <c r="I2" s="81">
        <v>7931</v>
      </c>
      <c r="J2" s="81">
        <v>7961</v>
      </c>
      <c r="K2" s="81">
        <v>7990</v>
      </c>
      <c r="L2" s="81">
        <v>8020</v>
      </c>
      <c r="M2" s="81">
        <v>8049</v>
      </c>
      <c r="N2" s="81">
        <v>8079</v>
      </c>
    </row>
    <row r="3" spans="1:14" x14ac:dyDescent="0.15">
      <c r="A3" s="23">
        <v>1926</v>
      </c>
      <c r="B3" s="81">
        <v>8079</v>
      </c>
      <c r="C3" s="81">
        <v>8108</v>
      </c>
      <c r="D3" s="81">
        <v>8137</v>
      </c>
      <c r="E3" s="81">
        <v>8167</v>
      </c>
      <c r="F3" s="81">
        <v>8196</v>
      </c>
      <c r="G3" s="81">
        <v>8226</v>
      </c>
      <c r="H3" s="81">
        <v>8255</v>
      </c>
      <c r="I3" s="81">
        <v>8285</v>
      </c>
      <c r="J3" s="81">
        <v>8315</v>
      </c>
      <c r="K3" s="81">
        <v>8344</v>
      </c>
      <c r="L3" s="81">
        <v>8374</v>
      </c>
      <c r="M3" s="81">
        <v>8404</v>
      </c>
      <c r="N3" s="81">
        <v>8433</v>
      </c>
    </row>
    <row r="4" spans="1:14" x14ac:dyDescent="0.15">
      <c r="A4" s="23">
        <v>1927</v>
      </c>
      <c r="B4" s="81">
        <v>8433</v>
      </c>
      <c r="C4" s="81">
        <v>8463</v>
      </c>
      <c r="D4" s="81">
        <v>8492</v>
      </c>
      <c r="E4" s="81">
        <v>8521</v>
      </c>
      <c r="F4" s="81">
        <v>8551</v>
      </c>
      <c r="G4" s="81">
        <v>8580</v>
      </c>
      <c r="H4" s="81">
        <v>8610</v>
      </c>
      <c r="I4" s="81">
        <v>8639</v>
      </c>
      <c r="J4" s="81">
        <v>8669</v>
      </c>
      <c r="K4" s="81">
        <v>8698</v>
      </c>
      <c r="L4" s="81">
        <v>8728</v>
      </c>
      <c r="M4" s="81">
        <v>8758</v>
      </c>
      <c r="N4" s="81">
        <v>8788</v>
      </c>
    </row>
    <row r="5" spans="1:14" x14ac:dyDescent="0.15">
      <c r="A5" s="23">
        <v>1928</v>
      </c>
      <c r="B5" s="81">
        <v>8788</v>
      </c>
      <c r="C5" s="81">
        <v>8817</v>
      </c>
      <c r="D5" s="81">
        <v>8876</v>
      </c>
      <c r="E5" s="81">
        <v>8905</v>
      </c>
      <c r="F5" s="81">
        <v>8935</v>
      </c>
      <c r="G5" s="81">
        <v>8964</v>
      </c>
      <c r="H5" s="81">
        <v>8993</v>
      </c>
      <c r="I5" s="81">
        <v>9023</v>
      </c>
      <c r="J5" s="81">
        <v>9052</v>
      </c>
      <c r="K5" s="81">
        <v>9082</v>
      </c>
      <c r="L5" s="81">
        <v>9112</v>
      </c>
      <c r="M5" s="81">
        <v>9142</v>
      </c>
      <c r="N5" s="81">
        <v>9172</v>
      </c>
    </row>
    <row r="6" spans="1:14" x14ac:dyDescent="0.15">
      <c r="A6" s="23">
        <v>1929</v>
      </c>
      <c r="B6" s="81">
        <v>9172</v>
      </c>
      <c r="C6" s="81">
        <v>9201</v>
      </c>
      <c r="D6" s="81">
        <v>9231</v>
      </c>
      <c r="E6" s="81">
        <v>9260</v>
      </c>
      <c r="F6" s="81">
        <v>9289</v>
      </c>
      <c r="G6" s="81">
        <v>9319</v>
      </c>
      <c r="H6" s="81">
        <v>9348</v>
      </c>
      <c r="I6" s="81">
        <v>9377</v>
      </c>
      <c r="J6" s="81">
        <v>9407</v>
      </c>
      <c r="K6" s="81">
        <v>9436</v>
      </c>
      <c r="L6" s="81">
        <v>9466</v>
      </c>
      <c r="M6" s="81">
        <v>9496</v>
      </c>
      <c r="N6" s="81">
        <v>9526</v>
      </c>
    </row>
    <row r="7" spans="1:14" x14ac:dyDescent="0.15">
      <c r="A7" s="23">
        <v>1930</v>
      </c>
      <c r="B7" s="81">
        <v>9526</v>
      </c>
      <c r="C7" s="81">
        <v>9555</v>
      </c>
      <c r="D7" s="81">
        <v>9585</v>
      </c>
      <c r="E7" s="81">
        <v>9615</v>
      </c>
      <c r="F7" s="81">
        <v>9644</v>
      </c>
      <c r="G7" s="82">
        <v>9673</v>
      </c>
      <c r="H7" s="81">
        <v>9732</v>
      </c>
      <c r="I7" s="81">
        <v>9761</v>
      </c>
      <c r="J7" s="81">
        <v>9791</v>
      </c>
      <c r="K7" s="81">
        <v>9820</v>
      </c>
      <c r="L7" s="81">
        <v>9850</v>
      </c>
      <c r="M7" s="81">
        <v>9880</v>
      </c>
      <c r="N7" s="81">
        <v>9909</v>
      </c>
    </row>
    <row r="8" spans="1:14" x14ac:dyDescent="0.15">
      <c r="A8" s="23">
        <v>1931</v>
      </c>
      <c r="B8" s="81">
        <v>9909</v>
      </c>
      <c r="C8" s="81">
        <v>9939</v>
      </c>
      <c r="D8" s="81">
        <v>9969</v>
      </c>
      <c r="E8" s="81">
        <v>9998</v>
      </c>
      <c r="F8" s="81">
        <v>10028</v>
      </c>
      <c r="G8" s="81">
        <v>10057</v>
      </c>
      <c r="H8" s="81">
        <v>10087</v>
      </c>
      <c r="I8" s="81">
        <v>10116</v>
      </c>
      <c r="J8" s="81">
        <v>10145</v>
      </c>
      <c r="K8" s="81">
        <v>10175</v>
      </c>
      <c r="L8" s="81">
        <v>10204</v>
      </c>
      <c r="M8" s="81">
        <v>10234</v>
      </c>
      <c r="N8" s="81">
        <v>10263</v>
      </c>
    </row>
    <row r="9" spans="1:14" x14ac:dyDescent="0.15">
      <c r="A9" s="23">
        <v>1932</v>
      </c>
      <c r="B9" s="81">
        <v>10263</v>
      </c>
      <c r="C9" s="81">
        <v>10293</v>
      </c>
      <c r="D9" s="81">
        <v>10323</v>
      </c>
      <c r="E9" s="81">
        <v>10353</v>
      </c>
      <c r="F9" s="81">
        <v>10382</v>
      </c>
      <c r="G9" s="81">
        <v>10412</v>
      </c>
      <c r="H9" s="81">
        <v>10441</v>
      </c>
      <c r="I9" s="81">
        <v>10471</v>
      </c>
      <c r="J9" s="81">
        <v>10500</v>
      </c>
      <c r="K9" s="81">
        <v>10529</v>
      </c>
      <c r="L9" s="81">
        <v>10559</v>
      </c>
      <c r="M9" s="81">
        <v>10588</v>
      </c>
      <c r="N9" s="81">
        <v>10618</v>
      </c>
    </row>
    <row r="10" spans="1:14" x14ac:dyDescent="0.15">
      <c r="A10" s="23">
        <v>1933</v>
      </c>
      <c r="B10" s="81">
        <v>10618</v>
      </c>
      <c r="C10" s="81">
        <v>10647</v>
      </c>
      <c r="D10" s="81">
        <v>10677</v>
      </c>
      <c r="E10" s="81">
        <v>10707</v>
      </c>
      <c r="F10" s="82">
        <v>10736</v>
      </c>
      <c r="G10" s="81">
        <v>10796</v>
      </c>
      <c r="H10" s="81">
        <v>10825</v>
      </c>
      <c r="I10" s="81">
        <v>10855</v>
      </c>
      <c r="J10" s="81">
        <v>10884</v>
      </c>
      <c r="K10" s="81">
        <v>10914</v>
      </c>
      <c r="L10" s="81">
        <v>10943</v>
      </c>
      <c r="M10" s="81">
        <v>10972</v>
      </c>
      <c r="N10" s="81">
        <v>11002</v>
      </c>
    </row>
    <row r="11" spans="1:14" x14ac:dyDescent="0.15">
      <c r="A11" s="23">
        <v>1934</v>
      </c>
      <c r="B11" s="81">
        <v>11002</v>
      </c>
      <c r="C11" s="81">
        <v>11031</v>
      </c>
      <c r="D11" s="81">
        <v>11061</v>
      </c>
      <c r="E11" s="81">
        <v>11090</v>
      </c>
      <c r="F11" s="81">
        <v>11120</v>
      </c>
      <c r="G11" s="81">
        <v>11150</v>
      </c>
      <c r="H11" s="81">
        <v>11179</v>
      </c>
      <c r="I11" s="81">
        <v>11209</v>
      </c>
      <c r="J11" s="81">
        <v>11238</v>
      </c>
      <c r="K11" s="81">
        <v>11268</v>
      </c>
      <c r="L11" s="81">
        <v>11298</v>
      </c>
      <c r="M11" s="81">
        <v>11327</v>
      </c>
      <c r="N11" s="81">
        <v>11357</v>
      </c>
    </row>
    <row r="12" spans="1:14" x14ac:dyDescent="0.15">
      <c r="A12" s="23">
        <v>1935</v>
      </c>
      <c r="B12" s="81">
        <v>11357</v>
      </c>
      <c r="C12" s="81">
        <v>11386</v>
      </c>
      <c r="D12" s="81">
        <v>11415</v>
      </c>
      <c r="E12" s="81">
        <v>11445</v>
      </c>
      <c r="F12" s="81">
        <v>11474</v>
      </c>
      <c r="G12" s="81">
        <v>11504</v>
      </c>
      <c r="H12" s="81">
        <v>11533</v>
      </c>
      <c r="I12" s="81">
        <v>11563</v>
      </c>
      <c r="J12" s="81">
        <v>11593</v>
      </c>
      <c r="K12" s="81">
        <v>11622</v>
      </c>
      <c r="L12" s="81">
        <v>11652</v>
      </c>
      <c r="M12" s="81">
        <v>11682</v>
      </c>
      <c r="N12" s="81">
        <v>11711</v>
      </c>
    </row>
    <row r="13" spans="1:14" x14ac:dyDescent="0.15">
      <c r="A13" s="23">
        <v>1936</v>
      </c>
      <c r="B13" s="81">
        <v>11711</v>
      </c>
      <c r="C13" s="81">
        <v>11741</v>
      </c>
      <c r="D13" s="82">
        <v>11770</v>
      </c>
      <c r="E13" s="81">
        <v>11829</v>
      </c>
      <c r="F13" s="81">
        <v>11858</v>
      </c>
      <c r="G13" s="81">
        <v>11887</v>
      </c>
      <c r="H13" s="81">
        <v>11917</v>
      </c>
      <c r="I13" s="81">
        <v>11947</v>
      </c>
      <c r="J13" s="81">
        <v>11976</v>
      </c>
      <c r="K13" s="81">
        <v>12006</v>
      </c>
      <c r="L13" s="81">
        <v>12036</v>
      </c>
      <c r="M13" s="81">
        <v>12066</v>
      </c>
      <c r="N13" s="81">
        <v>12095</v>
      </c>
    </row>
    <row r="14" spans="1:14" x14ac:dyDescent="0.15">
      <c r="A14" s="23">
        <v>1937</v>
      </c>
      <c r="B14" s="81">
        <v>12095</v>
      </c>
      <c r="C14" s="81">
        <v>12125</v>
      </c>
      <c r="D14" s="81">
        <v>12154</v>
      </c>
      <c r="E14" s="81">
        <v>12183</v>
      </c>
      <c r="F14" s="81">
        <v>12213</v>
      </c>
      <c r="G14" s="81">
        <v>12242</v>
      </c>
      <c r="H14" s="81">
        <v>12271</v>
      </c>
      <c r="I14" s="81">
        <v>12301</v>
      </c>
      <c r="J14" s="81">
        <v>12330</v>
      </c>
      <c r="K14" s="81">
        <v>12360</v>
      </c>
      <c r="L14" s="81">
        <v>12390</v>
      </c>
      <c r="M14" s="81">
        <v>12420</v>
      </c>
      <c r="N14" s="81">
        <v>12449</v>
      </c>
    </row>
    <row r="15" spans="1:14" x14ac:dyDescent="0.15">
      <c r="A15" s="23">
        <v>1938</v>
      </c>
      <c r="B15" s="81">
        <v>12449</v>
      </c>
      <c r="C15" s="81">
        <v>12479</v>
      </c>
      <c r="D15" s="81">
        <v>12509</v>
      </c>
      <c r="E15" s="81">
        <v>12538</v>
      </c>
      <c r="F15" s="81">
        <v>12567</v>
      </c>
      <c r="G15" s="81">
        <v>12597</v>
      </c>
      <c r="H15" s="82">
        <v>12626</v>
      </c>
      <c r="I15" s="81">
        <v>12685</v>
      </c>
      <c r="J15" s="81">
        <v>12714</v>
      </c>
      <c r="K15" s="81">
        <v>12744</v>
      </c>
      <c r="L15" s="81">
        <v>12774</v>
      </c>
      <c r="M15" s="81">
        <v>12803</v>
      </c>
      <c r="N15" s="81">
        <v>12833</v>
      </c>
    </row>
    <row r="16" spans="1:14" x14ac:dyDescent="0.15">
      <c r="A16" s="23">
        <v>1939</v>
      </c>
      <c r="B16" s="81">
        <v>12833</v>
      </c>
      <c r="C16" s="81">
        <v>12863</v>
      </c>
      <c r="D16" s="81">
        <v>12893</v>
      </c>
      <c r="E16" s="81">
        <v>12922</v>
      </c>
      <c r="F16" s="81">
        <v>12951</v>
      </c>
      <c r="G16" s="81">
        <v>12981</v>
      </c>
      <c r="H16" s="81">
        <v>13010</v>
      </c>
      <c r="I16" s="81">
        <v>13039</v>
      </c>
      <c r="J16" s="81">
        <v>13069</v>
      </c>
      <c r="K16" s="81">
        <v>13098</v>
      </c>
      <c r="L16" s="81">
        <v>13128</v>
      </c>
      <c r="M16" s="81">
        <v>13157</v>
      </c>
      <c r="N16" s="81">
        <v>13187</v>
      </c>
    </row>
    <row r="17" spans="1:14" x14ac:dyDescent="0.15">
      <c r="A17" s="23">
        <v>1940</v>
      </c>
      <c r="B17" s="81">
        <v>13187</v>
      </c>
      <c r="C17" s="81">
        <v>13217</v>
      </c>
      <c r="D17" s="81">
        <v>13247</v>
      </c>
      <c r="E17" s="81">
        <v>13276</v>
      </c>
      <c r="F17" s="81">
        <v>13306</v>
      </c>
      <c r="G17" s="81">
        <v>13335</v>
      </c>
      <c r="H17" s="81">
        <v>13365</v>
      </c>
      <c r="I17" s="81">
        <v>13394</v>
      </c>
      <c r="J17" s="81">
        <v>13423</v>
      </c>
      <c r="K17" s="81">
        <v>13453</v>
      </c>
      <c r="L17" s="81">
        <v>13482</v>
      </c>
      <c r="M17" s="81">
        <v>13512</v>
      </c>
      <c r="N17" s="81">
        <v>13541</v>
      </c>
    </row>
    <row r="18" spans="1:14" x14ac:dyDescent="0.15">
      <c r="A18" s="23">
        <v>1941</v>
      </c>
      <c r="B18" s="81">
        <v>13541</v>
      </c>
      <c r="C18" s="81">
        <v>13571</v>
      </c>
      <c r="D18" s="81">
        <v>13601</v>
      </c>
      <c r="E18" s="81">
        <v>13630</v>
      </c>
      <c r="F18" s="81">
        <v>13660</v>
      </c>
      <c r="G18" s="82">
        <v>13690</v>
      </c>
      <c r="H18" s="81">
        <v>13749</v>
      </c>
      <c r="I18" s="81">
        <v>13778</v>
      </c>
      <c r="J18" s="81">
        <v>13807</v>
      </c>
      <c r="K18" s="81">
        <v>13837</v>
      </c>
      <c r="L18" s="81">
        <v>13866</v>
      </c>
      <c r="M18" s="81">
        <v>13896</v>
      </c>
      <c r="N18" s="81">
        <v>13925</v>
      </c>
    </row>
    <row r="19" spans="1:14" x14ac:dyDescent="0.15">
      <c r="A19" s="23">
        <v>1942</v>
      </c>
      <c r="B19" s="81">
        <v>13925</v>
      </c>
      <c r="C19" s="81">
        <v>13955</v>
      </c>
      <c r="D19" s="81">
        <v>13984</v>
      </c>
      <c r="E19" s="81">
        <v>14014</v>
      </c>
      <c r="F19" s="81">
        <v>14044</v>
      </c>
      <c r="G19" s="81">
        <v>14073</v>
      </c>
      <c r="H19" s="81">
        <v>14103</v>
      </c>
      <c r="I19" s="81">
        <v>14132</v>
      </c>
      <c r="J19" s="81">
        <v>14162</v>
      </c>
      <c r="K19" s="81">
        <v>14191</v>
      </c>
      <c r="L19" s="81">
        <v>14221</v>
      </c>
      <c r="M19" s="81">
        <v>14250</v>
      </c>
      <c r="N19" s="81">
        <v>14280</v>
      </c>
    </row>
    <row r="20" spans="1:14" x14ac:dyDescent="0.15">
      <c r="A20" s="23">
        <v>1943</v>
      </c>
      <c r="B20" s="81">
        <v>14280</v>
      </c>
      <c r="C20" s="81">
        <v>14309</v>
      </c>
      <c r="D20" s="81">
        <v>14339</v>
      </c>
      <c r="E20" s="81">
        <v>14368</v>
      </c>
      <c r="F20" s="81">
        <v>14398</v>
      </c>
      <c r="G20" s="81">
        <v>14427</v>
      </c>
      <c r="H20" s="81">
        <v>14457</v>
      </c>
      <c r="I20" s="81">
        <v>14487</v>
      </c>
      <c r="J20" s="81">
        <v>14515</v>
      </c>
      <c r="K20" s="81">
        <v>14546</v>
      </c>
      <c r="L20" s="81">
        <v>14575</v>
      </c>
      <c r="M20" s="81">
        <v>14605</v>
      </c>
      <c r="N20" s="81">
        <v>14634</v>
      </c>
    </row>
    <row r="21" spans="1:14" x14ac:dyDescent="0.15">
      <c r="A21" s="23">
        <v>1944</v>
      </c>
      <c r="B21" s="81">
        <v>14634</v>
      </c>
      <c r="C21" s="81">
        <v>14664</v>
      </c>
      <c r="D21" s="81">
        <v>14693</v>
      </c>
      <c r="E21" s="82">
        <v>14723</v>
      </c>
      <c r="F21" s="81">
        <v>14782</v>
      </c>
      <c r="G21" s="81">
        <v>14811</v>
      </c>
      <c r="H21" s="81">
        <v>14841</v>
      </c>
      <c r="I21" s="81">
        <v>14870</v>
      </c>
      <c r="J21" s="81">
        <v>14900</v>
      </c>
      <c r="K21" s="81">
        <v>14930</v>
      </c>
      <c r="L21" s="81">
        <v>14959</v>
      </c>
      <c r="M21" s="81">
        <v>14989</v>
      </c>
      <c r="N21" s="81">
        <v>15019</v>
      </c>
    </row>
    <row r="22" spans="1:14" x14ac:dyDescent="0.15">
      <c r="A22" s="23">
        <v>1945</v>
      </c>
      <c r="B22" s="81">
        <v>15019</v>
      </c>
      <c r="C22" s="81">
        <v>15048</v>
      </c>
      <c r="D22" s="81">
        <v>15077</v>
      </c>
      <c r="E22" s="81">
        <v>15107</v>
      </c>
      <c r="F22" s="81">
        <v>15136</v>
      </c>
      <c r="G22" s="81">
        <v>15165</v>
      </c>
      <c r="H22" s="81">
        <v>15195</v>
      </c>
      <c r="I22" s="81">
        <v>15224</v>
      </c>
      <c r="J22" s="81">
        <v>15254</v>
      </c>
      <c r="K22" s="81">
        <v>15284</v>
      </c>
      <c r="L22" s="81">
        <v>15314</v>
      </c>
      <c r="M22" s="81">
        <v>15343</v>
      </c>
      <c r="N22" s="81">
        <v>15373</v>
      </c>
    </row>
    <row r="23" spans="1:14" x14ac:dyDescent="0.15">
      <c r="A23" s="23">
        <v>1946</v>
      </c>
      <c r="B23" s="81">
        <v>15373</v>
      </c>
      <c r="C23" s="81">
        <v>15403</v>
      </c>
      <c r="D23" s="81">
        <v>15432</v>
      </c>
      <c r="E23" s="81">
        <v>15461</v>
      </c>
      <c r="F23" s="81">
        <v>15491</v>
      </c>
      <c r="G23" s="81">
        <v>15520</v>
      </c>
      <c r="H23" s="81">
        <v>15549</v>
      </c>
      <c r="I23" s="81">
        <v>15579</v>
      </c>
      <c r="J23" s="81">
        <v>15608</v>
      </c>
      <c r="K23" s="81">
        <v>15638</v>
      </c>
      <c r="L23" s="81">
        <v>15668</v>
      </c>
      <c r="M23" s="81">
        <v>15697</v>
      </c>
      <c r="N23" s="81">
        <v>15726</v>
      </c>
    </row>
    <row r="24" spans="1:14" x14ac:dyDescent="0.15">
      <c r="A24" s="23">
        <v>1947</v>
      </c>
      <c r="B24" s="81">
        <v>15726</v>
      </c>
      <c r="C24" s="82">
        <v>15757</v>
      </c>
      <c r="D24" s="81">
        <v>15816</v>
      </c>
      <c r="E24" s="81">
        <v>15845</v>
      </c>
      <c r="F24" s="81">
        <v>15875</v>
      </c>
      <c r="G24" s="81">
        <v>15904</v>
      </c>
      <c r="H24" s="81">
        <v>15933</v>
      </c>
      <c r="I24" s="81">
        <v>15963</v>
      </c>
      <c r="J24" s="81">
        <v>15992</v>
      </c>
      <c r="K24" s="81">
        <v>16022</v>
      </c>
      <c r="L24" s="81">
        <v>16051</v>
      </c>
      <c r="M24" s="81">
        <v>16081</v>
      </c>
      <c r="N24" s="81">
        <v>16111</v>
      </c>
    </row>
    <row r="25" spans="1:14" x14ac:dyDescent="0.15">
      <c r="A25" s="23">
        <v>1948</v>
      </c>
      <c r="B25" s="81">
        <v>16111</v>
      </c>
      <c r="C25" s="81">
        <v>16141</v>
      </c>
      <c r="D25" s="81">
        <v>16170</v>
      </c>
      <c r="E25" s="81">
        <v>16200</v>
      </c>
      <c r="F25" s="81">
        <v>16229</v>
      </c>
      <c r="G25" s="81">
        <v>16259</v>
      </c>
      <c r="H25" s="81">
        <v>16288</v>
      </c>
      <c r="I25" s="81">
        <v>16317</v>
      </c>
      <c r="J25" s="81">
        <v>16347</v>
      </c>
      <c r="K25" s="81">
        <v>16376</v>
      </c>
      <c r="L25" s="81">
        <v>16406</v>
      </c>
      <c r="M25" s="81">
        <v>16435</v>
      </c>
      <c r="N25" s="81">
        <v>16465</v>
      </c>
    </row>
    <row r="26" spans="1:14" x14ac:dyDescent="0.15">
      <c r="A26" s="23">
        <v>1949</v>
      </c>
      <c r="B26" s="81">
        <v>16465</v>
      </c>
      <c r="C26" s="81">
        <v>16495</v>
      </c>
      <c r="D26" s="81">
        <v>16524</v>
      </c>
      <c r="E26" s="81">
        <v>16554</v>
      </c>
      <c r="F26" s="81">
        <v>16584</v>
      </c>
      <c r="G26" s="81">
        <v>16613</v>
      </c>
      <c r="H26" s="81">
        <v>16643</v>
      </c>
      <c r="I26" s="82">
        <v>16701</v>
      </c>
      <c r="J26" s="81">
        <v>16731</v>
      </c>
      <c r="K26" s="81">
        <v>16760</v>
      </c>
      <c r="L26" s="81">
        <v>16790</v>
      </c>
      <c r="M26" s="81">
        <v>16819</v>
      </c>
      <c r="N26" s="81">
        <v>16849</v>
      </c>
    </row>
    <row r="27" spans="1:14" x14ac:dyDescent="0.15">
      <c r="A27" s="23">
        <v>1950</v>
      </c>
      <c r="B27" s="81">
        <v>16849</v>
      </c>
      <c r="C27" s="81">
        <v>16878</v>
      </c>
      <c r="D27" s="81">
        <v>16908</v>
      </c>
      <c r="E27" s="81">
        <v>16938</v>
      </c>
      <c r="F27" s="81">
        <v>16967</v>
      </c>
      <c r="G27" s="81">
        <v>16997</v>
      </c>
      <c r="H27" s="81">
        <v>17027</v>
      </c>
      <c r="I27" s="81">
        <v>17056</v>
      </c>
      <c r="J27" s="81">
        <v>17085</v>
      </c>
      <c r="K27" s="81">
        <v>17115</v>
      </c>
      <c r="L27" s="81">
        <v>17144</v>
      </c>
      <c r="M27" s="81">
        <v>17174</v>
      </c>
      <c r="N27" s="81">
        <v>17203</v>
      </c>
    </row>
    <row r="28" spans="1:14" x14ac:dyDescent="0.15">
      <c r="A28" s="23">
        <v>1951</v>
      </c>
      <c r="B28" s="81">
        <v>17203</v>
      </c>
      <c r="C28" s="81">
        <v>17233</v>
      </c>
      <c r="D28" s="81">
        <v>17262</v>
      </c>
      <c r="E28" s="81">
        <v>17292</v>
      </c>
      <c r="F28" s="81">
        <v>17322</v>
      </c>
      <c r="G28" s="81">
        <v>17351</v>
      </c>
      <c r="H28" s="81">
        <v>17381</v>
      </c>
      <c r="I28" s="81">
        <v>17410</v>
      </c>
      <c r="J28" s="81">
        <v>17440</v>
      </c>
      <c r="K28" s="81">
        <v>17469</v>
      </c>
      <c r="L28" s="81">
        <v>17499</v>
      </c>
      <c r="M28" s="81">
        <v>17528</v>
      </c>
      <c r="N28" s="81">
        <v>17558</v>
      </c>
    </row>
    <row r="29" spans="1:14" x14ac:dyDescent="0.15">
      <c r="A29" s="23">
        <v>1952</v>
      </c>
      <c r="B29" s="81">
        <v>17558</v>
      </c>
      <c r="C29" s="81">
        <v>17587</v>
      </c>
      <c r="D29" s="81">
        <v>17617</v>
      </c>
      <c r="E29" s="81">
        <v>17646</v>
      </c>
      <c r="F29" s="82">
        <v>17676</v>
      </c>
      <c r="G29" s="81">
        <v>17735</v>
      </c>
      <c r="H29" s="81">
        <v>17764</v>
      </c>
      <c r="I29" s="81">
        <v>17794</v>
      </c>
      <c r="J29" s="81">
        <v>17824</v>
      </c>
      <c r="K29" s="81">
        <v>17853</v>
      </c>
      <c r="L29" s="81">
        <v>17883</v>
      </c>
      <c r="M29" s="81">
        <v>17912</v>
      </c>
      <c r="N29" s="81">
        <v>17942</v>
      </c>
    </row>
    <row r="30" spans="1:14" x14ac:dyDescent="0.15">
      <c r="A30" s="23">
        <v>1953</v>
      </c>
      <c r="B30" s="81">
        <v>17942</v>
      </c>
      <c r="C30" s="81">
        <v>17971</v>
      </c>
      <c r="D30" s="81">
        <v>18001</v>
      </c>
      <c r="E30" s="81">
        <v>18030</v>
      </c>
      <c r="F30" s="81">
        <v>18059</v>
      </c>
      <c r="G30" s="81">
        <v>18089</v>
      </c>
      <c r="H30" s="81">
        <v>18119</v>
      </c>
      <c r="I30" s="81">
        <v>18148</v>
      </c>
      <c r="J30" s="81">
        <v>18178</v>
      </c>
      <c r="K30" s="81">
        <v>18208</v>
      </c>
      <c r="L30" s="81">
        <v>18237</v>
      </c>
      <c r="M30" s="81">
        <v>18267</v>
      </c>
      <c r="N30" s="81">
        <v>18296</v>
      </c>
    </row>
    <row r="31" spans="1:14" x14ac:dyDescent="0.15">
      <c r="A31" s="23">
        <v>1954</v>
      </c>
      <c r="B31" s="81">
        <v>18296</v>
      </c>
      <c r="C31" s="81">
        <v>18326</v>
      </c>
      <c r="D31" s="81">
        <v>18355</v>
      </c>
      <c r="E31" s="81">
        <v>18385</v>
      </c>
      <c r="F31" s="81">
        <v>18414</v>
      </c>
      <c r="G31" s="81">
        <v>18443</v>
      </c>
      <c r="H31" s="81">
        <v>18473</v>
      </c>
      <c r="I31" s="81">
        <v>18502</v>
      </c>
      <c r="J31" s="81">
        <v>18532</v>
      </c>
      <c r="K31" s="81">
        <v>18562</v>
      </c>
      <c r="L31" s="81">
        <v>18591</v>
      </c>
      <c r="M31" s="81">
        <v>18621</v>
      </c>
      <c r="N31" s="81">
        <v>18651</v>
      </c>
    </row>
    <row r="32" spans="1:14" x14ac:dyDescent="0.15">
      <c r="A32" s="23">
        <v>1955</v>
      </c>
      <c r="B32" s="81">
        <v>18651</v>
      </c>
      <c r="C32" s="81">
        <v>18680</v>
      </c>
      <c r="D32" s="82">
        <v>18710</v>
      </c>
      <c r="E32" s="81">
        <v>18769</v>
      </c>
      <c r="F32" s="81">
        <v>18798</v>
      </c>
      <c r="G32" s="81">
        <v>18827</v>
      </c>
      <c r="H32" s="81">
        <v>18857</v>
      </c>
      <c r="I32" s="81">
        <v>18886</v>
      </c>
      <c r="J32" s="81">
        <v>18916</v>
      </c>
      <c r="K32" s="81">
        <v>18945</v>
      </c>
      <c r="L32" s="81">
        <v>18975</v>
      </c>
      <c r="M32" s="81">
        <v>19005</v>
      </c>
      <c r="N32" s="81">
        <v>19035</v>
      </c>
    </row>
    <row r="33" spans="1:14" x14ac:dyDescent="0.15">
      <c r="A33" s="23">
        <v>1956</v>
      </c>
      <c r="B33" s="81">
        <v>19035</v>
      </c>
      <c r="C33" s="81">
        <v>19064</v>
      </c>
      <c r="D33" s="81">
        <v>19094</v>
      </c>
      <c r="E33" s="81">
        <v>19123</v>
      </c>
      <c r="F33" s="81">
        <v>19153</v>
      </c>
      <c r="G33" s="81">
        <v>19182</v>
      </c>
      <c r="H33" s="81">
        <v>19211</v>
      </c>
      <c r="I33" s="81">
        <v>19241</v>
      </c>
      <c r="J33" s="81">
        <v>19270</v>
      </c>
      <c r="K33" s="81">
        <v>19300</v>
      </c>
      <c r="L33" s="81">
        <v>19329</v>
      </c>
      <c r="M33" s="81">
        <v>19359</v>
      </c>
      <c r="N33" s="81">
        <v>19389</v>
      </c>
    </row>
    <row r="34" spans="1:14" x14ac:dyDescent="0.15">
      <c r="A34" s="23">
        <v>1957</v>
      </c>
      <c r="B34" s="81">
        <v>19389</v>
      </c>
      <c r="C34" s="81">
        <v>19419</v>
      </c>
      <c r="D34" s="81">
        <v>19448</v>
      </c>
      <c r="E34" s="81">
        <v>19478</v>
      </c>
      <c r="F34" s="81">
        <v>19497</v>
      </c>
      <c r="G34" s="81">
        <v>19537</v>
      </c>
      <c r="H34" s="81">
        <v>19566</v>
      </c>
      <c r="I34" s="82">
        <v>19593</v>
      </c>
      <c r="J34" s="81">
        <v>19654</v>
      </c>
      <c r="K34" s="81">
        <v>19684</v>
      </c>
      <c r="L34" s="81">
        <v>19713</v>
      </c>
      <c r="M34" s="81">
        <v>19743</v>
      </c>
      <c r="N34" s="81">
        <v>19772</v>
      </c>
    </row>
    <row r="35" spans="1:14" x14ac:dyDescent="0.15">
      <c r="A35" s="23">
        <v>1958</v>
      </c>
      <c r="B35" s="81">
        <v>19772</v>
      </c>
      <c r="C35" s="81">
        <v>19802</v>
      </c>
      <c r="D35" s="81">
        <v>19832</v>
      </c>
      <c r="E35" s="81">
        <v>19862</v>
      </c>
      <c r="F35" s="81">
        <v>19891</v>
      </c>
      <c r="G35" s="81">
        <v>19921</v>
      </c>
      <c r="H35" s="81">
        <v>19950</v>
      </c>
      <c r="I35" s="81">
        <v>19979</v>
      </c>
      <c r="J35" s="81">
        <v>20009</v>
      </c>
      <c r="K35" s="81">
        <v>20038</v>
      </c>
      <c r="L35" s="81">
        <v>20068</v>
      </c>
      <c r="M35" s="81">
        <v>20097</v>
      </c>
      <c r="N35" s="81">
        <v>20127</v>
      </c>
    </row>
    <row r="36" spans="1:14" x14ac:dyDescent="0.15">
      <c r="A36" s="23">
        <v>1959</v>
      </c>
      <c r="B36" s="81">
        <v>20127</v>
      </c>
      <c r="C36" s="81">
        <v>20156</v>
      </c>
      <c r="D36" s="81">
        <v>20186</v>
      </c>
      <c r="E36" s="81">
        <v>20216</v>
      </c>
      <c r="F36" s="81">
        <v>20245</v>
      </c>
      <c r="G36" s="81">
        <v>20275</v>
      </c>
      <c r="H36" s="81">
        <v>20304</v>
      </c>
      <c r="I36" s="81">
        <v>20334</v>
      </c>
      <c r="J36" s="81">
        <v>20363</v>
      </c>
      <c r="K36" s="81">
        <v>20393</v>
      </c>
      <c r="L36" s="81">
        <v>20422</v>
      </c>
      <c r="M36" s="81">
        <v>20452</v>
      </c>
      <c r="N36" s="81">
        <v>20481</v>
      </c>
    </row>
    <row r="37" spans="1:14" x14ac:dyDescent="0.15">
      <c r="A37" s="23">
        <v>1960</v>
      </c>
      <c r="B37" s="81">
        <v>20481</v>
      </c>
      <c r="C37" s="81">
        <v>20511</v>
      </c>
      <c r="D37" s="81">
        <v>20540</v>
      </c>
      <c r="E37" s="81">
        <v>20570</v>
      </c>
      <c r="F37" s="81">
        <v>20599</v>
      </c>
      <c r="G37" s="81">
        <v>20629</v>
      </c>
      <c r="H37" s="81">
        <v>20688</v>
      </c>
      <c r="I37" s="81">
        <v>20718</v>
      </c>
      <c r="J37" s="81">
        <v>20747</v>
      </c>
      <c r="K37" s="81">
        <v>20777</v>
      </c>
      <c r="L37" s="81">
        <v>20806</v>
      </c>
      <c r="M37" s="81">
        <v>20836</v>
      </c>
      <c r="N37" s="81">
        <v>20865</v>
      </c>
    </row>
    <row r="38" spans="1:14" x14ac:dyDescent="0.15">
      <c r="A38" s="23">
        <v>1961</v>
      </c>
      <c r="B38" s="81">
        <v>20865</v>
      </c>
      <c r="C38" s="81">
        <v>20895</v>
      </c>
      <c r="D38" s="81">
        <v>20924</v>
      </c>
      <c r="E38" s="81">
        <v>20954</v>
      </c>
      <c r="F38" s="81">
        <v>20983</v>
      </c>
      <c r="G38" s="81">
        <v>21013</v>
      </c>
      <c r="H38" s="81">
        <v>21042</v>
      </c>
      <c r="I38" s="81">
        <v>21072</v>
      </c>
      <c r="J38" s="81">
        <v>21102</v>
      </c>
      <c r="K38" s="81">
        <v>21131</v>
      </c>
      <c r="L38" s="81">
        <v>21161</v>
      </c>
      <c r="M38" s="81">
        <v>21190</v>
      </c>
      <c r="N38" s="81">
        <v>21220</v>
      </c>
    </row>
    <row r="39" spans="1:14" x14ac:dyDescent="0.15">
      <c r="A39" s="23">
        <v>1962</v>
      </c>
      <c r="B39" s="81">
        <v>21220</v>
      </c>
      <c r="C39" s="81">
        <v>21249</v>
      </c>
      <c r="D39" s="81">
        <v>21279</v>
      </c>
      <c r="E39" s="81">
        <v>21308</v>
      </c>
      <c r="F39" s="81">
        <v>21337</v>
      </c>
      <c r="G39" s="81">
        <v>21367</v>
      </c>
      <c r="H39" s="81">
        <v>21396</v>
      </c>
      <c r="I39" s="81">
        <v>21426</v>
      </c>
      <c r="J39" s="81">
        <v>21456</v>
      </c>
      <c r="K39" s="81">
        <v>21485</v>
      </c>
      <c r="L39" s="81">
        <v>21515</v>
      </c>
      <c r="M39" s="81">
        <v>21545</v>
      </c>
      <c r="N39" s="81">
        <v>21574</v>
      </c>
    </row>
    <row r="40" spans="1:14" x14ac:dyDescent="0.15">
      <c r="A40" s="23">
        <v>1963</v>
      </c>
      <c r="B40" s="81">
        <v>21574</v>
      </c>
      <c r="C40" s="81">
        <v>21604</v>
      </c>
      <c r="D40" s="81">
        <v>21633</v>
      </c>
      <c r="E40" s="82">
        <v>21663</v>
      </c>
      <c r="F40" s="81">
        <v>21721</v>
      </c>
      <c r="G40" s="81">
        <v>21751</v>
      </c>
      <c r="H40" s="81">
        <v>21780</v>
      </c>
      <c r="I40" s="81">
        <v>21810</v>
      </c>
      <c r="J40" s="81">
        <v>21839</v>
      </c>
      <c r="K40" s="81">
        <v>21869</v>
      </c>
      <c r="L40" s="81">
        <v>21899</v>
      </c>
      <c r="M40" s="81">
        <v>21929</v>
      </c>
      <c r="N40" s="81">
        <v>21958</v>
      </c>
    </row>
    <row r="41" spans="1:14" x14ac:dyDescent="0.15">
      <c r="A41" s="23">
        <v>1964</v>
      </c>
      <c r="B41" s="81">
        <v>21958</v>
      </c>
      <c r="C41" s="81">
        <v>21988</v>
      </c>
      <c r="D41" s="81">
        <v>22017</v>
      </c>
      <c r="E41" s="81">
        <v>22047</v>
      </c>
      <c r="F41" s="81">
        <v>22076</v>
      </c>
      <c r="G41" s="81">
        <v>22105</v>
      </c>
      <c r="H41" s="81">
        <v>22135</v>
      </c>
      <c r="I41" s="81">
        <v>22164</v>
      </c>
      <c r="J41" s="81">
        <v>22194</v>
      </c>
      <c r="K41" s="81">
        <v>22223</v>
      </c>
      <c r="L41" s="81">
        <v>22253</v>
      </c>
      <c r="M41" s="81">
        <v>22283</v>
      </c>
      <c r="N41" s="81">
        <v>22313</v>
      </c>
    </row>
    <row r="42" spans="1:14" x14ac:dyDescent="0.15">
      <c r="A42" s="23">
        <v>1965</v>
      </c>
      <c r="B42" s="81">
        <v>22313</v>
      </c>
      <c r="C42" s="81">
        <v>22342</v>
      </c>
      <c r="D42" s="81">
        <v>22372</v>
      </c>
      <c r="E42" s="81">
        <v>22401</v>
      </c>
      <c r="F42" s="81">
        <v>22431</v>
      </c>
      <c r="G42" s="81">
        <v>22460</v>
      </c>
      <c r="H42" s="81">
        <v>22489</v>
      </c>
      <c r="I42" s="81">
        <v>22519</v>
      </c>
      <c r="J42" s="81">
        <v>22548</v>
      </c>
      <c r="K42" s="81">
        <v>22577</v>
      </c>
      <c r="L42" s="81">
        <v>22607</v>
      </c>
      <c r="M42" s="81">
        <v>22637</v>
      </c>
      <c r="N42" s="81">
        <v>22666</v>
      </c>
    </row>
    <row r="43" spans="1:14" x14ac:dyDescent="0.15">
      <c r="A43" s="23">
        <v>1966</v>
      </c>
      <c r="B43" s="81">
        <v>22666</v>
      </c>
      <c r="C43" s="81">
        <v>22696</v>
      </c>
      <c r="D43" s="82">
        <v>22726</v>
      </c>
      <c r="E43" s="81">
        <v>22785</v>
      </c>
      <c r="F43" s="81">
        <v>22815</v>
      </c>
      <c r="G43" s="81">
        <v>22844</v>
      </c>
      <c r="H43" s="81">
        <v>22873</v>
      </c>
      <c r="I43" s="81">
        <v>22903</v>
      </c>
      <c r="J43" s="81">
        <v>22932</v>
      </c>
      <c r="K43" s="81">
        <v>22961</v>
      </c>
      <c r="L43" s="81">
        <v>22991</v>
      </c>
      <c r="M43" s="81">
        <v>23021</v>
      </c>
      <c r="N43" s="81">
        <v>23050</v>
      </c>
    </row>
    <row r="44" spans="1:14" x14ac:dyDescent="0.15">
      <c r="A44" s="23">
        <v>1967</v>
      </c>
      <c r="B44" s="81">
        <v>23050</v>
      </c>
      <c r="C44" s="81">
        <v>23080</v>
      </c>
      <c r="D44" s="81">
        <v>23110</v>
      </c>
      <c r="E44" s="81">
        <v>23139</v>
      </c>
      <c r="F44" s="81">
        <v>23169</v>
      </c>
      <c r="G44" s="81">
        <v>23199</v>
      </c>
      <c r="H44" s="81">
        <v>23228</v>
      </c>
      <c r="I44" s="81">
        <v>23257</v>
      </c>
      <c r="J44" s="81">
        <v>23287</v>
      </c>
      <c r="K44" s="81">
        <v>23316</v>
      </c>
      <c r="L44" s="81">
        <v>23346</v>
      </c>
      <c r="M44" s="81">
        <v>23375</v>
      </c>
      <c r="N44" s="81">
        <v>23405</v>
      </c>
    </row>
    <row r="45" spans="1:14" x14ac:dyDescent="0.15">
      <c r="A45" s="23">
        <v>1968</v>
      </c>
      <c r="B45" s="81">
        <v>23405</v>
      </c>
      <c r="C45" s="81">
        <v>23434</v>
      </c>
      <c r="D45" s="81">
        <v>23464</v>
      </c>
      <c r="E45" s="81">
        <v>23493</v>
      </c>
      <c r="F45" s="81">
        <v>23523</v>
      </c>
      <c r="G45" s="81">
        <v>23552</v>
      </c>
      <c r="H45" s="82">
        <v>23582</v>
      </c>
      <c r="I45" s="81">
        <v>23641</v>
      </c>
      <c r="J45" s="81">
        <v>23671</v>
      </c>
      <c r="K45" s="81">
        <v>23700</v>
      </c>
      <c r="L45" s="81">
        <v>23730</v>
      </c>
      <c r="M45" s="81">
        <v>23759</v>
      </c>
      <c r="N45" s="81">
        <v>23789</v>
      </c>
    </row>
    <row r="46" spans="1:14" x14ac:dyDescent="0.15">
      <c r="A46" s="23">
        <v>1969</v>
      </c>
      <c r="B46" s="81">
        <v>23789</v>
      </c>
      <c r="C46" s="81">
        <v>23818</v>
      </c>
      <c r="D46" s="81">
        <v>23848</v>
      </c>
      <c r="E46" s="81">
        <v>23877</v>
      </c>
      <c r="F46" s="81">
        <v>23907</v>
      </c>
      <c r="G46" s="81">
        <v>23936</v>
      </c>
      <c r="H46" s="81">
        <v>23966</v>
      </c>
      <c r="I46" s="81">
        <v>23996</v>
      </c>
      <c r="J46" s="81">
        <v>24025</v>
      </c>
      <c r="K46" s="81">
        <v>24055</v>
      </c>
      <c r="L46" s="81">
        <v>24084</v>
      </c>
      <c r="M46" s="81">
        <v>24114</v>
      </c>
      <c r="N46" s="81">
        <v>24143</v>
      </c>
    </row>
    <row r="47" spans="1:14" x14ac:dyDescent="0.15">
      <c r="A47" s="23">
        <v>1970</v>
      </c>
      <c r="B47" s="81">
        <v>24143</v>
      </c>
      <c r="C47" s="81">
        <v>24173</v>
      </c>
      <c r="D47" s="81">
        <v>24202</v>
      </c>
      <c r="E47" s="81">
        <v>24231</v>
      </c>
      <c r="F47" s="81">
        <v>24261</v>
      </c>
      <c r="G47" s="81">
        <v>24290</v>
      </c>
      <c r="H47" s="81">
        <v>24320</v>
      </c>
      <c r="I47" s="81">
        <v>24350</v>
      </c>
      <c r="J47" s="81">
        <v>24379</v>
      </c>
      <c r="K47" s="81">
        <v>24409</v>
      </c>
      <c r="L47" s="81">
        <v>24439</v>
      </c>
      <c r="M47" s="81">
        <v>24468</v>
      </c>
      <c r="N47" s="81">
        <v>24498</v>
      </c>
    </row>
    <row r="48" spans="1:14" x14ac:dyDescent="0.15">
      <c r="A48" s="23">
        <v>1971</v>
      </c>
      <c r="B48" s="81">
        <v>24498</v>
      </c>
      <c r="C48" s="81">
        <v>24527</v>
      </c>
      <c r="D48" s="81">
        <v>24557</v>
      </c>
      <c r="E48" s="81">
        <v>24586</v>
      </c>
      <c r="F48" s="82">
        <v>24615</v>
      </c>
      <c r="G48" s="81">
        <v>24674</v>
      </c>
      <c r="H48" s="81">
        <v>24704</v>
      </c>
      <c r="I48" s="81">
        <v>24733</v>
      </c>
      <c r="J48" s="81">
        <v>24763</v>
      </c>
      <c r="K48" s="81">
        <v>24793</v>
      </c>
      <c r="L48" s="81">
        <v>24823</v>
      </c>
      <c r="M48" s="81">
        <v>24852</v>
      </c>
      <c r="N48" s="81">
        <v>24882</v>
      </c>
    </row>
    <row r="49" spans="1:14" x14ac:dyDescent="0.15">
      <c r="A49" s="23">
        <v>1972</v>
      </c>
      <c r="B49" s="81">
        <v>24882</v>
      </c>
      <c r="C49" s="81">
        <v>24911</v>
      </c>
      <c r="D49" s="81">
        <v>24941</v>
      </c>
      <c r="E49" s="81">
        <v>24970</v>
      </c>
      <c r="F49" s="81">
        <v>24992</v>
      </c>
      <c r="G49" s="81">
        <v>25029</v>
      </c>
      <c r="H49" s="81">
        <v>25058</v>
      </c>
      <c r="I49" s="81">
        <v>25088</v>
      </c>
      <c r="J49" s="81">
        <v>25111</v>
      </c>
      <c r="K49" s="81">
        <v>25147</v>
      </c>
      <c r="L49" s="81">
        <v>25177</v>
      </c>
      <c r="M49" s="81">
        <v>25206</v>
      </c>
      <c r="N49" s="81">
        <v>25236</v>
      </c>
    </row>
    <row r="50" spans="1:14" x14ac:dyDescent="0.15">
      <c r="A50" s="23">
        <v>1973</v>
      </c>
      <c r="B50" s="81">
        <v>25236</v>
      </c>
      <c r="C50" s="81">
        <v>25266</v>
      </c>
      <c r="D50" s="81">
        <v>25295</v>
      </c>
      <c r="E50" s="81">
        <v>25325</v>
      </c>
      <c r="F50" s="81">
        <v>25354</v>
      </c>
      <c r="G50" s="81">
        <v>25383</v>
      </c>
      <c r="H50" s="81">
        <v>25413</v>
      </c>
      <c r="I50" s="81">
        <v>25442</v>
      </c>
      <c r="J50" s="81">
        <v>25471</v>
      </c>
      <c r="K50" s="81">
        <v>25501</v>
      </c>
      <c r="L50" s="81">
        <v>25531</v>
      </c>
      <c r="M50" s="81">
        <v>25560</v>
      </c>
      <c r="N50" s="81">
        <v>25590</v>
      </c>
    </row>
    <row r="51" spans="1:14" x14ac:dyDescent="0.15">
      <c r="A51" s="23">
        <v>1974</v>
      </c>
      <c r="B51" s="81">
        <v>25590</v>
      </c>
      <c r="C51" s="81">
        <v>25620</v>
      </c>
      <c r="D51" s="81">
        <v>25650</v>
      </c>
      <c r="E51" s="82">
        <v>25679</v>
      </c>
      <c r="F51" s="81">
        <v>25738</v>
      </c>
      <c r="G51" s="81">
        <v>25767</v>
      </c>
      <c r="H51" s="81">
        <v>25797</v>
      </c>
      <c r="I51" s="81">
        <v>25826</v>
      </c>
      <c r="J51" s="81">
        <v>25855</v>
      </c>
      <c r="K51" s="81">
        <v>25885</v>
      </c>
      <c r="L51" s="81">
        <v>25915</v>
      </c>
      <c r="M51" s="81">
        <v>25944</v>
      </c>
      <c r="N51" s="81">
        <v>25974</v>
      </c>
    </row>
    <row r="52" spans="1:14" x14ac:dyDescent="0.15">
      <c r="A52" s="23">
        <v>1975</v>
      </c>
      <c r="B52" s="81">
        <v>25974</v>
      </c>
      <c r="C52" s="81">
        <v>26004</v>
      </c>
      <c r="D52" s="81">
        <v>26034</v>
      </c>
      <c r="E52" s="81">
        <v>26063</v>
      </c>
      <c r="F52" s="81">
        <v>26093</v>
      </c>
      <c r="G52" s="81">
        <v>26122</v>
      </c>
      <c r="H52" s="81">
        <v>26151</v>
      </c>
      <c r="I52" s="81">
        <v>26181</v>
      </c>
      <c r="J52" s="81">
        <v>26210</v>
      </c>
      <c r="K52" s="81">
        <v>26239</v>
      </c>
      <c r="L52" s="81">
        <v>26269</v>
      </c>
      <c r="M52" s="81">
        <v>26298</v>
      </c>
      <c r="N52" s="81">
        <v>26328</v>
      </c>
    </row>
    <row r="53" spans="1:14" x14ac:dyDescent="0.15">
      <c r="A53" s="23">
        <v>1976</v>
      </c>
      <c r="B53" s="81">
        <v>26328</v>
      </c>
      <c r="C53" s="81">
        <v>26358</v>
      </c>
      <c r="D53" s="81">
        <v>26388</v>
      </c>
      <c r="E53" s="81">
        <v>26417</v>
      </c>
      <c r="F53" s="81">
        <v>26447</v>
      </c>
      <c r="G53" s="81">
        <v>26476</v>
      </c>
      <c r="H53" s="81">
        <v>26506</v>
      </c>
      <c r="I53" s="82">
        <v>26535</v>
      </c>
      <c r="J53" s="81">
        <v>26594</v>
      </c>
      <c r="K53" s="81">
        <v>26623</v>
      </c>
      <c r="L53" s="81">
        <v>26653</v>
      </c>
      <c r="M53" s="81">
        <v>26682</v>
      </c>
      <c r="N53" s="81">
        <v>26712</v>
      </c>
    </row>
    <row r="54" spans="1:14" x14ac:dyDescent="0.15">
      <c r="A54" s="23">
        <v>1977</v>
      </c>
      <c r="B54" s="81">
        <v>26712</v>
      </c>
      <c r="C54" s="81">
        <v>26742</v>
      </c>
      <c r="D54" s="81">
        <v>26771</v>
      </c>
      <c r="E54" s="81">
        <v>26801</v>
      </c>
      <c r="F54" s="81">
        <v>26831</v>
      </c>
      <c r="G54" s="81">
        <v>26860</v>
      </c>
      <c r="H54" s="81">
        <v>26890</v>
      </c>
      <c r="I54" s="81">
        <v>26919</v>
      </c>
      <c r="J54" s="81">
        <v>26949</v>
      </c>
      <c r="K54" s="81">
        <v>26978</v>
      </c>
      <c r="L54" s="81">
        <v>27008</v>
      </c>
      <c r="M54" s="81">
        <v>27037</v>
      </c>
      <c r="N54" s="81">
        <v>27066</v>
      </c>
    </row>
    <row r="55" spans="1:14" x14ac:dyDescent="0.15">
      <c r="A55" s="23">
        <v>1978</v>
      </c>
      <c r="B55" s="81">
        <v>27066</v>
      </c>
      <c r="C55" s="81">
        <v>27096</v>
      </c>
      <c r="D55" s="81">
        <v>27125</v>
      </c>
      <c r="E55" s="81">
        <v>27155</v>
      </c>
      <c r="F55" s="81">
        <v>27185</v>
      </c>
      <c r="G55" s="81">
        <v>27214</v>
      </c>
      <c r="H55" s="81">
        <v>27244</v>
      </c>
      <c r="I55" s="81">
        <v>27274</v>
      </c>
      <c r="J55" s="81">
        <v>27303</v>
      </c>
      <c r="K55" s="81">
        <v>27333</v>
      </c>
      <c r="L55" s="81">
        <v>27362</v>
      </c>
      <c r="M55" s="81">
        <v>27392</v>
      </c>
      <c r="N55" s="81">
        <v>27421</v>
      </c>
    </row>
    <row r="56" spans="1:14" x14ac:dyDescent="0.15">
      <c r="A56" s="23">
        <v>1979</v>
      </c>
      <c r="B56" s="81">
        <v>27421</v>
      </c>
      <c r="C56" s="81">
        <v>27451</v>
      </c>
      <c r="D56" s="81">
        <v>27480</v>
      </c>
      <c r="E56" s="81">
        <v>27509</v>
      </c>
      <c r="F56" s="81">
        <v>27539</v>
      </c>
      <c r="G56" s="82">
        <v>27568</v>
      </c>
      <c r="H56" s="81">
        <v>27628</v>
      </c>
      <c r="I56" s="81">
        <v>27657</v>
      </c>
      <c r="J56" s="81">
        <v>27687</v>
      </c>
      <c r="K56" s="81">
        <v>27717</v>
      </c>
      <c r="L56" s="81">
        <v>27746</v>
      </c>
      <c r="M56" s="81">
        <v>27776</v>
      </c>
      <c r="N56" s="81">
        <v>27805</v>
      </c>
    </row>
    <row r="57" spans="1:14" x14ac:dyDescent="0.15">
      <c r="A57" s="23">
        <v>1980</v>
      </c>
      <c r="B57" s="81">
        <v>27805</v>
      </c>
      <c r="C57" s="81">
        <v>27835</v>
      </c>
      <c r="D57" s="81">
        <v>27864</v>
      </c>
      <c r="E57" s="81">
        <v>27893</v>
      </c>
      <c r="F57" s="81">
        <v>27923</v>
      </c>
      <c r="G57" s="81">
        <v>27952</v>
      </c>
      <c r="H57" s="81">
        <v>27982</v>
      </c>
      <c r="I57" s="81">
        <v>28011</v>
      </c>
      <c r="J57" s="81">
        <v>28041</v>
      </c>
      <c r="K57" s="81">
        <v>28071</v>
      </c>
      <c r="L57" s="81">
        <v>28100</v>
      </c>
      <c r="M57" s="81">
        <v>28130</v>
      </c>
      <c r="N57" s="81">
        <v>28160</v>
      </c>
    </row>
    <row r="58" spans="1:14" x14ac:dyDescent="0.15">
      <c r="A58" s="23">
        <v>1981</v>
      </c>
      <c r="B58" s="81">
        <v>28160</v>
      </c>
      <c r="C58" s="81">
        <v>28189</v>
      </c>
      <c r="D58" s="81">
        <v>28219</v>
      </c>
      <c r="E58" s="81">
        <v>28248</v>
      </c>
      <c r="F58" s="81">
        <v>28277</v>
      </c>
      <c r="G58" s="81">
        <v>28307</v>
      </c>
      <c r="H58" s="81">
        <v>28336</v>
      </c>
      <c r="I58" s="81">
        <v>28365</v>
      </c>
      <c r="J58" s="81">
        <v>28395</v>
      </c>
      <c r="K58" s="81">
        <v>28425</v>
      </c>
      <c r="L58" s="81">
        <v>28454</v>
      </c>
      <c r="M58" s="81">
        <v>28484</v>
      </c>
      <c r="N58" s="81">
        <v>28514</v>
      </c>
    </row>
    <row r="59" spans="1:14" x14ac:dyDescent="0.15">
      <c r="A59" s="23">
        <v>1982</v>
      </c>
      <c r="B59" s="81">
        <v>28514</v>
      </c>
      <c r="C59" s="81">
        <v>28544</v>
      </c>
      <c r="D59" s="81">
        <v>28573</v>
      </c>
      <c r="E59" s="82">
        <v>28603</v>
      </c>
      <c r="F59" s="81">
        <v>28661</v>
      </c>
      <c r="G59" s="81">
        <v>28691</v>
      </c>
      <c r="H59" s="81">
        <v>28720</v>
      </c>
      <c r="I59" s="81">
        <v>28749</v>
      </c>
      <c r="J59" s="81">
        <v>28779</v>
      </c>
      <c r="K59" s="81">
        <v>28808</v>
      </c>
      <c r="L59" s="81">
        <v>28838</v>
      </c>
      <c r="M59" s="81">
        <v>28868</v>
      </c>
      <c r="N59" s="81">
        <v>28898</v>
      </c>
    </row>
    <row r="60" spans="1:14" x14ac:dyDescent="0.15">
      <c r="A60" s="23">
        <v>1983</v>
      </c>
      <c r="B60" s="81">
        <v>28898</v>
      </c>
      <c r="C60" s="81">
        <v>28928</v>
      </c>
      <c r="D60" s="81">
        <v>28957</v>
      </c>
      <c r="E60" s="81">
        <v>28987</v>
      </c>
      <c r="F60" s="81">
        <v>29016</v>
      </c>
      <c r="G60" s="81">
        <v>29045</v>
      </c>
      <c r="H60" s="81">
        <v>29075</v>
      </c>
      <c r="I60" s="81">
        <v>29104</v>
      </c>
      <c r="J60" s="81">
        <v>29133</v>
      </c>
      <c r="K60" s="81">
        <v>29163</v>
      </c>
      <c r="L60" s="81">
        <v>29192</v>
      </c>
      <c r="M60" s="81">
        <v>29222</v>
      </c>
      <c r="N60" s="81">
        <v>29252</v>
      </c>
    </row>
    <row r="61" spans="1:14" x14ac:dyDescent="0.15">
      <c r="A61" s="23">
        <v>1984</v>
      </c>
      <c r="B61" s="81">
        <v>29252</v>
      </c>
      <c r="C61" s="81">
        <v>29282</v>
      </c>
      <c r="D61" s="81">
        <v>29311</v>
      </c>
      <c r="E61" s="81">
        <v>29341</v>
      </c>
      <c r="F61" s="81">
        <v>29371</v>
      </c>
      <c r="G61" s="81">
        <v>29400</v>
      </c>
      <c r="H61" s="81">
        <v>29429</v>
      </c>
      <c r="I61" s="81">
        <v>29459</v>
      </c>
      <c r="J61" s="81">
        <v>29488</v>
      </c>
      <c r="K61" s="82">
        <v>29517</v>
      </c>
      <c r="L61" s="81">
        <v>29576</v>
      </c>
      <c r="M61" s="81">
        <v>29606</v>
      </c>
      <c r="N61" s="81">
        <v>29636</v>
      </c>
    </row>
    <row r="62" spans="1:14" x14ac:dyDescent="0.15">
      <c r="A62" s="23">
        <v>1985</v>
      </c>
      <c r="B62" s="81">
        <v>29636</v>
      </c>
      <c r="C62" s="81">
        <v>29665</v>
      </c>
      <c r="D62" s="81">
        <v>29695</v>
      </c>
      <c r="E62" s="81">
        <v>29725</v>
      </c>
      <c r="F62" s="81">
        <v>29754</v>
      </c>
      <c r="G62" s="81">
        <v>29784</v>
      </c>
      <c r="H62" s="81">
        <v>29813</v>
      </c>
      <c r="I62" s="81">
        <v>29843</v>
      </c>
      <c r="J62" s="81">
        <v>29872</v>
      </c>
      <c r="K62" s="81">
        <v>29901</v>
      </c>
      <c r="L62" s="81">
        <v>29931</v>
      </c>
      <c r="M62" s="81">
        <v>29960</v>
      </c>
      <c r="N62" s="81">
        <v>29990</v>
      </c>
    </row>
    <row r="63" spans="1:14" x14ac:dyDescent="0.15">
      <c r="A63" s="23">
        <v>1986</v>
      </c>
      <c r="B63" s="81">
        <v>29990</v>
      </c>
      <c r="C63" s="81">
        <v>30019</v>
      </c>
      <c r="D63" s="81">
        <v>30049</v>
      </c>
      <c r="E63" s="81">
        <v>30079</v>
      </c>
      <c r="F63" s="81">
        <v>30108</v>
      </c>
      <c r="G63" s="81">
        <v>30139</v>
      </c>
      <c r="H63" s="81">
        <v>30168</v>
      </c>
      <c r="I63" s="81">
        <v>30197</v>
      </c>
      <c r="J63" s="81">
        <v>30227</v>
      </c>
      <c r="K63" s="81">
        <v>30256</v>
      </c>
      <c r="L63" s="81">
        <v>30286</v>
      </c>
      <c r="M63" s="81">
        <v>30315</v>
      </c>
      <c r="N63" s="81">
        <v>30344</v>
      </c>
    </row>
    <row r="64" spans="1:14" x14ac:dyDescent="0.15">
      <c r="A64" s="23">
        <v>1987</v>
      </c>
      <c r="B64" s="81">
        <v>30344</v>
      </c>
      <c r="C64" s="81">
        <v>30374</v>
      </c>
      <c r="D64" s="81">
        <v>30403</v>
      </c>
      <c r="E64" s="81">
        <v>30433</v>
      </c>
      <c r="F64" s="81">
        <v>30462</v>
      </c>
      <c r="G64" s="82">
        <v>30492</v>
      </c>
      <c r="H64" s="81">
        <v>30551</v>
      </c>
      <c r="I64" s="81">
        <v>30581</v>
      </c>
      <c r="J64" s="81">
        <v>30611</v>
      </c>
      <c r="K64" s="81">
        <v>30640</v>
      </c>
      <c r="L64" s="81">
        <v>30670</v>
      </c>
      <c r="M64" s="81">
        <v>30699</v>
      </c>
      <c r="N64" s="81">
        <v>30728</v>
      </c>
    </row>
    <row r="65" spans="1:14" x14ac:dyDescent="0.15">
      <c r="A65" s="23">
        <v>1988</v>
      </c>
      <c r="B65" s="81">
        <v>30728</v>
      </c>
      <c r="C65" s="81">
        <v>30758</v>
      </c>
      <c r="D65" s="81">
        <v>30787</v>
      </c>
      <c r="E65" s="81">
        <v>30817</v>
      </c>
      <c r="F65" s="81">
        <v>30846</v>
      </c>
      <c r="G65" s="81">
        <v>30876</v>
      </c>
      <c r="H65" s="81">
        <v>30905</v>
      </c>
      <c r="I65" s="81">
        <v>30935</v>
      </c>
      <c r="J65" s="81">
        <v>30965</v>
      </c>
      <c r="K65" s="81">
        <v>30994</v>
      </c>
      <c r="L65" s="81">
        <v>31024</v>
      </c>
      <c r="M65" s="81">
        <v>31054</v>
      </c>
      <c r="N65" s="81">
        <v>31083</v>
      </c>
    </row>
    <row r="66" spans="1:14" x14ac:dyDescent="0.15">
      <c r="A66" s="23">
        <v>1989</v>
      </c>
      <c r="B66" s="81">
        <v>31083</v>
      </c>
      <c r="C66" s="81">
        <v>31113</v>
      </c>
      <c r="D66" s="81">
        <v>31142</v>
      </c>
      <c r="E66" s="81">
        <v>31171</v>
      </c>
      <c r="F66" s="81">
        <v>31201</v>
      </c>
      <c r="G66" s="81">
        <v>31230</v>
      </c>
      <c r="H66" s="81">
        <v>31259</v>
      </c>
      <c r="I66" s="81">
        <v>31289</v>
      </c>
      <c r="J66" s="81">
        <v>31319</v>
      </c>
      <c r="K66" s="81">
        <v>31348</v>
      </c>
      <c r="L66" s="81">
        <v>31378</v>
      </c>
      <c r="M66" s="81">
        <v>31408</v>
      </c>
      <c r="N66" s="81">
        <v>31438</v>
      </c>
    </row>
    <row r="67" spans="1:14" x14ac:dyDescent="0.15">
      <c r="A67" s="23">
        <v>1990</v>
      </c>
      <c r="B67" s="81">
        <v>31438</v>
      </c>
      <c r="C67" s="81">
        <v>31467</v>
      </c>
      <c r="D67" s="81">
        <v>31497</v>
      </c>
      <c r="E67" s="81">
        <v>31526</v>
      </c>
      <c r="F67" s="82">
        <v>31555</v>
      </c>
      <c r="G67" s="81">
        <v>31615</v>
      </c>
      <c r="H67" s="81">
        <v>31643</v>
      </c>
      <c r="I67" s="81">
        <v>31673</v>
      </c>
      <c r="J67" s="81">
        <v>31702</v>
      </c>
      <c r="K67" s="81">
        <v>31732</v>
      </c>
      <c r="L67" s="81">
        <v>31762</v>
      </c>
      <c r="M67" s="81">
        <v>31792</v>
      </c>
      <c r="N67" s="81">
        <v>31822</v>
      </c>
    </row>
    <row r="68" spans="1:14" x14ac:dyDescent="0.15">
      <c r="A68" s="23">
        <v>1991</v>
      </c>
      <c r="B68" s="81">
        <v>31822</v>
      </c>
      <c r="C68" s="81">
        <v>31851</v>
      </c>
      <c r="D68" s="81">
        <v>31881</v>
      </c>
      <c r="E68" s="81">
        <v>31910</v>
      </c>
      <c r="F68" s="81">
        <v>31939</v>
      </c>
      <c r="G68" s="81">
        <v>31969</v>
      </c>
      <c r="H68" s="81">
        <v>31998</v>
      </c>
      <c r="I68" s="81">
        <v>32027</v>
      </c>
      <c r="J68" s="81">
        <v>32057</v>
      </c>
      <c r="K68" s="81">
        <v>32086</v>
      </c>
      <c r="L68" s="81">
        <v>32116</v>
      </c>
      <c r="M68" s="81">
        <v>32146</v>
      </c>
      <c r="N68" s="81">
        <v>32176</v>
      </c>
    </row>
    <row r="69" spans="1:14" x14ac:dyDescent="0.15">
      <c r="A69" s="23">
        <v>1992</v>
      </c>
      <c r="B69" s="81">
        <v>32176</v>
      </c>
      <c r="C69" s="81">
        <v>32205</v>
      </c>
      <c r="D69" s="81">
        <v>32235</v>
      </c>
      <c r="E69" s="81">
        <v>32265</v>
      </c>
      <c r="F69" s="81">
        <v>32294</v>
      </c>
      <c r="G69" s="81">
        <v>32323</v>
      </c>
      <c r="H69" s="81">
        <v>32353</v>
      </c>
      <c r="I69" s="81">
        <v>32382</v>
      </c>
      <c r="J69" s="81">
        <v>32411</v>
      </c>
      <c r="K69" s="81">
        <v>32441</v>
      </c>
      <c r="L69" s="81">
        <v>32470</v>
      </c>
      <c r="M69" s="81">
        <v>32500</v>
      </c>
      <c r="N69" s="81">
        <v>32529</v>
      </c>
    </row>
    <row r="70" spans="1:14" x14ac:dyDescent="0.15">
      <c r="A70" s="23">
        <v>1993</v>
      </c>
      <c r="B70" s="81">
        <v>32529</v>
      </c>
      <c r="C70" s="81">
        <v>32559</v>
      </c>
      <c r="D70" s="82">
        <v>32589</v>
      </c>
      <c r="E70" s="81">
        <v>32648</v>
      </c>
      <c r="F70" s="81">
        <v>32678</v>
      </c>
      <c r="G70" s="81">
        <v>32707</v>
      </c>
      <c r="H70" s="81">
        <v>32736</v>
      </c>
      <c r="I70" s="81">
        <v>32766</v>
      </c>
      <c r="J70" s="81">
        <v>32795</v>
      </c>
      <c r="K70" s="81">
        <v>32824</v>
      </c>
      <c r="L70" s="81">
        <v>32854</v>
      </c>
      <c r="M70" s="81">
        <v>32884</v>
      </c>
      <c r="N70" s="81">
        <v>35835</v>
      </c>
    </row>
    <row r="71" spans="1:14" x14ac:dyDescent="0.15">
      <c r="A71" s="23">
        <v>1994</v>
      </c>
      <c r="B71" s="81">
        <v>32913</v>
      </c>
      <c r="C71" s="81">
        <v>32943</v>
      </c>
      <c r="D71" s="81">
        <v>32973</v>
      </c>
      <c r="E71" s="81">
        <v>33002</v>
      </c>
      <c r="F71" s="81">
        <v>33032</v>
      </c>
      <c r="G71" s="81">
        <v>33061</v>
      </c>
      <c r="H71" s="81">
        <v>33091</v>
      </c>
      <c r="I71" s="81">
        <v>33120</v>
      </c>
      <c r="J71" s="81">
        <v>33150</v>
      </c>
      <c r="K71" s="81">
        <v>33179</v>
      </c>
      <c r="L71" s="81">
        <v>33209</v>
      </c>
      <c r="M71" s="81">
        <v>33238</v>
      </c>
      <c r="N71" s="81">
        <v>33267</v>
      </c>
    </row>
    <row r="72" spans="1:14" x14ac:dyDescent="0.15">
      <c r="A72" s="23">
        <v>1995</v>
      </c>
      <c r="B72" s="81">
        <v>33267</v>
      </c>
      <c r="C72" s="81">
        <v>33297</v>
      </c>
      <c r="D72" s="81">
        <v>33327</v>
      </c>
      <c r="E72" s="81">
        <v>33356</v>
      </c>
      <c r="F72" s="81">
        <v>33386</v>
      </c>
      <c r="G72" s="81">
        <v>33416</v>
      </c>
      <c r="H72" s="81">
        <v>33445</v>
      </c>
      <c r="I72" s="82">
        <v>33475</v>
      </c>
      <c r="J72" s="81">
        <v>33534</v>
      </c>
      <c r="K72" s="81">
        <v>33563</v>
      </c>
      <c r="L72" s="81">
        <v>33593</v>
      </c>
      <c r="M72" s="81">
        <v>33622</v>
      </c>
      <c r="N72" s="81">
        <v>33651</v>
      </c>
    </row>
    <row r="73" spans="1:14" x14ac:dyDescent="0.15">
      <c r="A73" s="23">
        <v>1996</v>
      </c>
      <c r="B73" s="81">
        <v>33651</v>
      </c>
      <c r="C73" s="81">
        <v>33681</v>
      </c>
      <c r="D73" s="81">
        <v>33710</v>
      </c>
      <c r="E73" s="81">
        <v>33740</v>
      </c>
      <c r="F73" s="81">
        <v>33770</v>
      </c>
      <c r="G73" s="81">
        <v>33799</v>
      </c>
      <c r="H73" s="81">
        <v>33829</v>
      </c>
      <c r="I73" s="81">
        <v>33859</v>
      </c>
      <c r="J73" s="81">
        <v>33888</v>
      </c>
      <c r="K73" s="81">
        <v>33918</v>
      </c>
      <c r="L73" s="81">
        <v>33947</v>
      </c>
      <c r="M73" s="81">
        <v>33977</v>
      </c>
      <c r="N73" s="81">
        <v>34006</v>
      </c>
    </row>
    <row r="74" spans="1:14" x14ac:dyDescent="0.15">
      <c r="A74" s="23">
        <v>1997</v>
      </c>
      <c r="B74" s="81">
        <v>34006</v>
      </c>
      <c r="C74" s="81">
        <v>34036</v>
      </c>
      <c r="D74" s="81">
        <v>34065</v>
      </c>
      <c r="E74" s="81">
        <v>34094</v>
      </c>
      <c r="F74" s="81">
        <v>34124</v>
      </c>
      <c r="G74" s="81">
        <v>34153</v>
      </c>
      <c r="H74" s="81">
        <v>34183</v>
      </c>
      <c r="I74" s="81">
        <v>34213</v>
      </c>
      <c r="J74" s="81">
        <v>34242</v>
      </c>
      <c r="K74" s="81">
        <v>34272</v>
      </c>
      <c r="L74" s="81">
        <v>34302</v>
      </c>
      <c r="M74" s="81">
        <v>34331</v>
      </c>
      <c r="N74" s="81">
        <v>34361</v>
      </c>
    </row>
    <row r="75" spans="1:14" x14ac:dyDescent="0.15">
      <c r="A75" s="23">
        <v>1998</v>
      </c>
      <c r="B75" s="81">
        <v>34361</v>
      </c>
      <c r="C75" s="81">
        <v>34390</v>
      </c>
      <c r="D75" s="81">
        <v>34420</v>
      </c>
      <c r="E75" s="81">
        <v>34449</v>
      </c>
      <c r="F75" s="82">
        <v>34478</v>
      </c>
      <c r="G75" s="81">
        <v>34537</v>
      </c>
      <c r="H75" s="81">
        <v>34567</v>
      </c>
      <c r="I75" s="81">
        <v>34596</v>
      </c>
      <c r="J75" s="81">
        <v>34626</v>
      </c>
      <c r="K75" s="81">
        <v>34656</v>
      </c>
      <c r="L75" s="81">
        <v>34685</v>
      </c>
      <c r="M75" s="81">
        <v>34715</v>
      </c>
      <c r="N75" s="81">
        <v>34745</v>
      </c>
    </row>
    <row r="76" spans="1:14" x14ac:dyDescent="0.15">
      <c r="A76" s="23">
        <v>1999</v>
      </c>
      <c r="B76" s="81">
        <v>34745</v>
      </c>
      <c r="C76" s="81">
        <v>34774</v>
      </c>
      <c r="D76" s="81">
        <v>34804</v>
      </c>
      <c r="E76" s="81">
        <v>34833</v>
      </c>
      <c r="F76" s="81">
        <v>34862</v>
      </c>
      <c r="G76" s="81">
        <v>34892</v>
      </c>
      <c r="H76" s="81">
        <v>34921</v>
      </c>
      <c r="I76" s="81">
        <v>34950</v>
      </c>
      <c r="J76" s="81">
        <v>34980</v>
      </c>
      <c r="K76" s="81">
        <v>35010</v>
      </c>
      <c r="L76" s="81">
        <v>35039</v>
      </c>
      <c r="M76" s="81">
        <v>35069</v>
      </c>
      <c r="N76" s="81">
        <v>35099</v>
      </c>
    </row>
    <row r="77" spans="1:14" x14ac:dyDescent="0.15">
      <c r="A77" s="23">
        <v>2000</v>
      </c>
      <c r="B77" s="81">
        <v>35099</v>
      </c>
      <c r="C77" s="81">
        <v>35129</v>
      </c>
      <c r="D77" s="81">
        <v>35158</v>
      </c>
      <c r="E77" s="81">
        <v>35188</v>
      </c>
      <c r="F77" s="81">
        <v>35217</v>
      </c>
      <c r="G77" s="81">
        <v>35246</v>
      </c>
      <c r="H77" s="81">
        <v>35276</v>
      </c>
      <c r="I77" s="81">
        <v>35305</v>
      </c>
      <c r="J77" s="81">
        <v>35334</v>
      </c>
      <c r="K77" s="81">
        <v>35364</v>
      </c>
      <c r="L77" s="81">
        <v>35394</v>
      </c>
      <c r="M77" s="81">
        <v>35423</v>
      </c>
      <c r="N77" s="81">
        <v>35453</v>
      </c>
    </row>
    <row r="78" spans="1:14" x14ac:dyDescent="0.15">
      <c r="A78" s="23">
        <v>2001</v>
      </c>
      <c r="B78" s="81">
        <v>35453</v>
      </c>
      <c r="C78" s="81">
        <v>35483</v>
      </c>
      <c r="D78" s="81">
        <v>35513</v>
      </c>
      <c r="E78" s="81">
        <v>35542</v>
      </c>
      <c r="F78" s="82">
        <v>36302</v>
      </c>
      <c r="G78" s="81">
        <v>35630</v>
      </c>
      <c r="H78" s="81">
        <v>35660</v>
      </c>
      <c r="I78" s="81">
        <v>35689</v>
      </c>
      <c r="J78" s="81">
        <v>35718</v>
      </c>
      <c r="K78" s="81">
        <v>35748</v>
      </c>
      <c r="L78" s="81">
        <v>35777</v>
      </c>
      <c r="M78" s="81">
        <v>35807</v>
      </c>
      <c r="N78" s="81">
        <v>35837</v>
      </c>
    </row>
    <row r="79" spans="1:14" x14ac:dyDescent="0.15">
      <c r="A79" s="23">
        <v>2002</v>
      </c>
      <c r="B79" s="81">
        <v>35837</v>
      </c>
      <c r="C79" s="81">
        <v>35867</v>
      </c>
      <c r="D79" s="81">
        <v>35896</v>
      </c>
      <c r="E79" s="81">
        <v>35926</v>
      </c>
      <c r="F79" s="81">
        <v>35956</v>
      </c>
      <c r="G79" s="81">
        <v>35985</v>
      </c>
      <c r="H79" s="81">
        <v>36014</v>
      </c>
      <c r="I79" s="81">
        <v>36044</v>
      </c>
      <c r="J79" s="81">
        <v>36073</v>
      </c>
      <c r="K79" s="81">
        <v>36102</v>
      </c>
      <c r="L79" s="81">
        <v>36132</v>
      </c>
      <c r="M79" s="81">
        <v>36161</v>
      </c>
      <c r="N79" s="81">
        <v>36191</v>
      </c>
    </row>
    <row r="80" spans="1:14" x14ac:dyDescent="0.15">
      <c r="A80" s="23">
        <v>2003</v>
      </c>
      <c r="B80" s="81">
        <v>36191</v>
      </c>
      <c r="C80" s="81">
        <v>36221</v>
      </c>
      <c r="D80" s="81">
        <v>36250</v>
      </c>
      <c r="E80" s="81">
        <v>36280</v>
      </c>
      <c r="F80" s="81">
        <v>36310</v>
      </c>
      <c r="G80" s="81">
        <v>36339</v>
      </c>
      <c r="H80" s="81">
        <v>36369</v>
      </c>
      <c r="I80" s="81">
        <v>36398</v>
      </c>
      <c r="J80" s="81">
        <v>36428</v>
      </c>
      <c r="K80" s="81">
        <v>36457</v>
      </c>
      <c r="L80" s="81">
        <v>36486</v>
      </c>
      <c r="M80" s="81">
        <v>36516</v>
      </c>
      <c r="N80" s="81">
        <v>36545</v>
      </c>
    </row>
    <row r="81" spans="1:14" x14ac:dyDescent="0.15">
      <c r="A81" s="23">
        <v>2004</v>
      </c>
      <c r="B81" s="81">
        <v>36545</v>
      </c>
      <c r="C81" s="82">
        <v>36575</v>
      </c>
      <c r="D81" s="81">
        <v>36634</v>
      </c>
      <c r="E81" s="81">
        <v>36664</v>
      </c>
      <c r="F81" s="81">
        <v>36693</v>
      </c>
      <c r="G81" s="81">
        <v>36723</v>
      </c>
      <c r="H81" s="81">
        <v>36753</v>
      </c>
      <c r="I81" s="81">
        <v>36782</v>
      </c>
      <c r="J81" s="81">
        <v>36812</v>
      </c>
      <c r="K81" s="81">
        <v>36841</v>
      </c>
      <c r="L81" s="81">
        <v>36871</v>
      </c>
      <c r="M81" s="81">
        <v>36900</v>
      </c>
      <c r="N81" s="81">
        <v>36929</v>
      </c>
    </row>
    <row r="82" spans="1:14" x14ac:dyDescent="0.15">
      <c r="A82" s="23">
        <v>2005</v>
      </c>
      <c r="B82" s="81">
        <v>36929</v>
      </c>
      <c r="C82" s="81">
        <v>36959</v>
      </c>
      <c r="D82" s="81">
        <v>36988</v>
      </c>
      <c r="E82" s="81">
        <v>37018</v>
      </c>
      <c r="F82" s="81">
        <v>37047</v>
      </c>
      <c r="G82" s="81">
        <v>37077</v>
      </c>
      <c r="H82" s="81">
        <v>37107</v>
      </c>
      <c r="I82" s="81">
        <v>37136</v>
      </c>
      <c r="J82" s="81">
        <v>37166</v>
      </c>
      <c r="K82" s="81">
        <v>37196</v>
      </c>
      <c r="L82" s="81">
        <v>37225</v>
      </c>
      <c r="M82" s="81">
        <v>37255</v>
      </c>
      <c r="N82" s="81">
        <v>37284</v>
      </c>
    </row>
    <row r="83" spans="1:14" x14ac:dyDescent="0.15">
      <c r="A83" s="23">
        <v>2006</v>
      </c>
      <c r="B83" s="81">
        <v>37284</v>
      </c>
      <c r="C83" s="81">
        <v>37314</v>
      </c>
      <c r="D83" s="81">
        <v>37343</v>
      </c>
      <c r="E83" s="81">
        <v>37372</v>
      </c>
      <c r="F83" s="81">
        <v>37402</v>
      </c>
      <c r="G83" s="81">
        <v>37431</v>
      </c>
      <c r="H83" s="82">
        <v>37461</v>
      </c>
      <c r="I83" s="81">
        <v>37520</v>
      </c>
      <c r="J83" s="81">
        <v>37550</v>
      </c>
      <c r="K83" s="81">
        <v>37579</v>
      </c>
      <c r="L83" s="81">
        <v>37609</v>
      </c>
      <c r="M83" s="81">
        <v>37639</v>
      </c>
      <c r="N83" s="81">
        <v>37668</v>
      </c>
    </row>
    <row r="84" spans="1:14" x14ac:dyDescent="0.15">
      <c r="A84" s="23">
        <v>2007</v>
      </c>
      <c r="B84" s="81">
        <v>37668</v>
      </c>
      <c r="C84" s="81">
        <v>37698</v>
      </c>
      <c r="D84" s="81">
        <v>37727</v>
      </c>
      <c r="E84" s="81">
        <v>37756</v>
      </c>
      <c r="F84" s="81">
        <v>37786</v>
      </c>
      <c r="G84" s="81">
        <v>37815</v>
      </c>
      <c r="H84" s="81">
        <v>37845</v>
      </c>
      <c r="I84" s="81">
        <v>37874</v>
      </c>
      <c r="J84" s="81">
        <v>37904</v>
      </c>
      <c r="K84" s="81">
        <v>37934</v>
      </c>
      <c r="L84" s="81">
        <v>37963</v>
      </c>
      <c r="M84" s="81">
        <v>37993</v>
      </c>
      <c r="N84" s="81">
        <v>38023</v>
      </c>
    </row>
    <row r="85" spans="1:14" x14ac:dyDescent="0.15">
      <c r="A85" s="23">
        <v>2008</v>
      </c>
      <c r="B85" s="81">
        <v>38023</v>
      </c>
      <c r="C85" s="81">
        <v>38052</v>
      </c>
      <c r="D85" s="81">
        <v>38082</v>
      </c>
      <c r="E85" s="81">
        <v>38111</v>
      </c>
      <c r="F85" s="81">
        <v>38140</v>
      </c>
      <c r="G85" s="81">
        <v>38170</v>
      </c>
      <c r="H85" s="81">
        <v>38199</v>
      </c>
      <c r="I85" s="81">
        <v>38228</v>
      </c>
      <c r="J85" s="81">
        <v>38258</v>
      </c>
      <c r="K85" s="81">
        <v>38288</v>
      </c>
      <c r="L85" s="81">
        <v>38317</v>
      </c>
      <c r="M85" s="81">
        <v>38347</v>
      </c>
      <c r="N85" s="81">
        <v>38377</v>
      </c>
    </row>
    <row r="86" spans="1:14" x14ac:dyDescent="0.15">
      <c r="A86" s="23">
        <v>2009</v>
      </c>
      <c r="B86" s="81">
        <v>38377</v>
      </c>
      <c r="C86" s="81">
        <v>38407</v>
      </c>
      <c r="D86" s="81">
        <v>38436</v>
      </c>
      <c r="E86" s="81">
        <v>38466</v>
      </c>
      <c r="F86" s="82">
        <v>38495</v>
      </c>
      <c r="G86" s="81">
        <v>38554</v>
      </c>
      <c r="H86" s="81">
        <v>38583</v>
      </c>
      <c r="I86" s="81">
        <v>38612</v>
      </c>
      <c r="J86" s="81">
        <v>38642</v>
      </c>
      <c r="K86" s="81">
        <v>38671</v>
      </c>
      <c r="L86" s="81">
        <v>38701</v>
      </c>
      <c r="M86" s="81">
        <v>38731</v>
      </c>
      <c r="N86" s="81">
        <v>38761</v>
      </c>
    </row>
    <row r="87" spans="1:14" x14ac:dyDescent="0.15">
      <c r="A87" s="23">
        <v>2010</v>
      </c>
      <c r="B87" s="81">
        <v>38761</v>
      </c>
      <c r="C87" s="81">
        <v>38790</v>
      </c>
      <c r="D87" s="81">
        <v>38820</v>
      </c>
      <c r="E87" s="81">
        <v>38850</v>
      </c>
      <c r="F87" s="81">
        <v>38879</v>
      </c>
      <c r="G87" s="81">
        <v>38908</v>
      </c>
      <c r="H87" s="81">
        <v>38938</v>
      </c>
      <c r="I87" s="81">
        <v>38967</v>
      </c>
      <c r="J87" s="81">
        <v>38996</v>
      </c>
      <c r="K87" s="81">
        <v>39026</v>
      </c>
      <c r="L87" s="81">
        <v>39055</v>
      </c>
      <c r="M87" s="81">
        <v>39085</v>
      </c>
      <c r="N87" s="81">
        <v>39115</v>
      </c>
    </row>
    <row r="88" spans="1:14" x14ac:dyDescent="0.15">
      <c r="A88" s="23">
        <v>2011</v>
      </c>
      <c r="B88" s="81">
        <v>39115</v>
      </c>
      <c r="C88" s="81">
        <v>39144</v>
      </c>
      <c r="D88" s="81">
        <v>39174</v>
      </c>
      <c r="E88" s="81">
        <v>39204</v>
      </c>
      <c r="F88" s="81">
        <v>39233</v>
      </c>
      <c r="G88" s="81">
        <v>39263</v>
      </c>
      <c r="H88" s="81">
        <v>39292</v>
      </c>
      <c r="I88" s="81">
        <v>39322</v>
      </c>
      <c r="J88" s="81">
        <v>39351</v>
      </c>
      <c r="K88" s="81">
        <v>39380</v>
      </c>
      <c r="L88" s="81">
        <v>39410</v>
      </c>
      <c r="M88" s="81">
        <v>39439</v>
      </c>
      <c r="N88" s="81">
        <v>39469</v>
      </c>
    </row>
    <row r="89" spans="1:14" x14ac:dyDescent="0.15">
      <c r="A89" s="23">
        <v>2012</v>
      </c>
      <c r="B89" s="81">
        <v>39469</v>
      </c>
      <c r="C89" s="81">
        <v>39498</v>
      </c>
      <c r="D89" s="81">
        <v>39528</v>
      </c>
      <c r="E89" s="82">
        <v>39558</v>
      </c>
      <c r="F89" s="81">
        <v>39617</v>
      </c>
      <c r="G89" s="81">
        <v>39647</v>
      </c>
      <c r="H89" s="81">
        <v>39676</v>
      </c>
      <c r="I89" s="81">
        <v>39706</v>
      </c>
      <c r="J89" s="81">
        <v>39735</v>
      </c>
      <c r="K89" s="81">
        <v>39764</v>
      </c>
      <c r="L89" s="81">
        <v>39794</v>
      </c>
      <c r="M89" s="81">
        <v>39823</v>
      </c>
      <c r="N89" s="81">
        <v>39853</v>
      </c>
    </row>
    <row r="90" spans="1:14" x14ac:dyDescent="0.15">
      <c r="A90" s="23">
        <v>2013</v>
      </c>
      <c r="B90" s="81">
        <v>39853</v>
      </c>
      <c r="C90" s="81">
        <v>39882</v>
      </c>
      <c r="D90" s="81">
        <v>39912</v>
      </c>
      <c r="E90" s="81">
        <v>39942</v>
      </c>
      <c r="F90" s="81">
        <v>39971</v>
      </c>
      <c r="G90" s="81">
        <v>40001</v>
      </c>
      <c r="H90" s="81">
        <v>40030</v>
      </c>
      <c r="I90" s="81">
        <v>40060</v>
      </c>
      <c r="J90" s="81">
        <v>40090</v>
      </c>
      <c r="K90" s="81">
        <v>40119</v>
      </c>
      <c r="L90" s="81">
        <v>40149</v>
      </c>
      <c r="M90" s="81">
        <v>40178</v>
      </c>
      <c r="N90" s="81">
        <v>40207</v>
      </c>
    </row>
    <row r="91" spans="1:14" x14ac:dyDescent="0.15">
      <c r="A91" s="83">
        <v>2014</v>
      </c>
      <c r="B91" s="84">
        <v>40208</v>
      </c>
      <c r="C91" s="84">
        <v>40237</v>
      </c>
      <c r="D91" s="84">
        <v>40267</v>
      </c>
      <c r="E91" s="84">
        <v>40296</v>
      </c>
      <c r="F91" s="84">
        <v>40326</v>
      </c>
      <c r="G91" s="84">
        <v>40355</v>
      </c>
      <c r="H91" s="84">
        <v>40385</v>
      </c>
      <c r="I91" s="84">
        <v>40414</v>
      </c>
      <c r="J91" s="85">
        <v>40444</v>
      </c>
      <c r="K91" s="84">
        <v>40503</v>
      </c>
      <c r="L91" s="84">
        <v>40533</v>
      </c>
      <c r="M91" s="84">
        <v>40562</v>
      </c>
      <c r="N91" s="84">
        <v>40592</v>
      </c>
    </row>
    <row r="92" spans="1:14" x14ac:dyDescent="0.15">
      <c r="A92" s="83">
        <v>2015</v>
      </c>
      <c r="B92" s="84">
        <v>40592</v>
      </c>
      <c r="C92" s="84">
        <v>40621</v>
      </c>
      <c r="D92" s="84">
        <v>40651</v>
      </c>
      <c r="E92" s="84">
        <v>40680</v>
      </c>
      <c r="F92" s="84">
        <v>40709</v>
      </c>
      <c r="G92" s="84">
        <v>40739</v>
      </c>
      <c r="H92" s="84">
        <v>40768</v>
      </c>
      <c r="I92" s="84">
        <v>40798</v>
      </c>
      <c r="J92" s="84">
        <v>40828</v>
      </c>
      <c r="K92" s="84">
        <v>40858</v>
      </c>
      <c r="L92" s="84">
        <v>40887</v>
      </c>
      <c r="M92" s="84">
        <v>40917</v>
      </c>
      <c r="N92" s="84">
        <v>40946</v>
      </c>
    </row>
    <row r="93" spans="1:14" x14ac:dyDescent="0.15">
      <c r="A93" s="83">
        <v>2016</v>
      </c>
      <c r="B93" s="84">
        <v>40946</v>
      </c>
      <c r="C93" s="84">
        <v>40976</v>
      </c>
      <c r="D93" s="84">
        <v>41005</v>
      </c>
      <c r="E93" s="84">
        <v>41035</v>
      </c>
      <c r="F93" s="84">
        <v>41064</v>
      </c>
      <c r="G93" s="84">
        <v>41093</v>
      </c>
      <c r="H93" s="84">
        <v>41123</v>
      </c>
      <c r="I93" s="84">
        <v>41152</v>
      </c>
      <c r="J93" s="84">
        <v>41182</v>
      </c>
      <c r="K93" s="84">
        <v>41212</v>
      </c>
      <c r="L93" s="84">
        <v>41241</v>
      </c>
      <c r="M93" s="84">
        <v>41271</v>
      </c>
      <c r="N93" s="84">
        <v>41301</v>
      </c>
    </row>
    <row r="94" spans="1:14" x14ac:dyDescent="0.15">
      <c r="A94" s="83">
        <v>2017</v>
      </c>
      <c r="B94" s="84">
        <v>41301</v>
      </c>
      <c r="C94" s="84">
        <v>41330</v>
      </c>
      <c r="D94" s="84">
        <v>41360</v>
      </c>
      <c r="E94" s="84">
        <v>41389</v>
      </c>
      <c r="F94" s="84">
        <v>41419</v>
      </c>
      <c r="G94" s="85">
        <v>41448</v>
      </c>
      <c r="H94" s="84">
        <v>41507</v>
      </c>
      <c r="I94" s="84">
        <v>41536</v>
      </c>
      <c r="J94" s="84">
        <v>41566</v>
      </c>
      <c r="K94" s="84">
        <v>41595</v>
      </c>
      <c r="L94" s="84">
        <v>41625</v>
      </c>
      <c r="M94" s="84">
        <v>41655</v>
      </c>
      <c r="N94" s="84">
        <v>41685</v>
      </c>
    </row>
    <row r="95" spans="1:14" x14ac:dyDescent="0.15">
      <c r="A95" s="83">
        <v>2018</v>
      </c>
      <c r="B95" s="84">
        <v>41685</v>
      </c>
      <c r="C95" s="84">
        <v>41714</v>
      </c>
      <c r="D95" s="84">
        <v>41744</v>
      </c>
      <c r="E95" s="84">
        <v>41773</v>
      </c>
      <c r="F95" s="84">
        <v>41803</v>
      </c>
      <c r="G95" s="84">
        <v>41832</v>
      </c>
      <c r="H95" s="84">
        <v>41861</v>
      </c>
      <c r="I95" s="84">
        <v>41891</v>
      </c>
      <c r="J95" s="84">
        <v>41920</v>
      </c>
      <c r="K95" s="84">
        <v>41950</v>
      </c>
      <c r="L95" s="84">
        <v>41979</v>
      </c>
      <c r="M95" s="84">
        <v>42009</v>
      </c>
      <c r="N95" s="84">
        <v>42039</v>
      </c>
    </row>
    <row r="96" spans="1:14" x14ac:dyDescent="0.15">
      <c r="A96" s="83">
        <v>2019</v>
      </c>
      <c r="B96" s="84">
        <v>42039</v>
      </c>
      <c r="C96" s="84">
        <v>42069</v>
      </c>
      <c r="D96" s="84">
        <v>42098</v>
      </c>
      <c r="E96" s="84">
        <v>42128</v>
      </c>
      <c r="F96" s="84">
        <v>42157</v>
      </c>
      <c r="G96" s="84">
        <v>42187</v>
      </c>
      <c r="H96" s="84">
        <v>42216</v>
      </c>
      <c r="I96" s="84">
        <v>42245</v>
      </c>
      <c r="J96" s="84">
        <v>42275</v>
      </c>
      <c r="K96" s="84">
        <v>42304</v>
      </c>
      <c r="L96" s="84">
        <v>42333</v>
      </c>
      <c r="M96" s="84">
        <v>42363</v>
      </c>
      <c r="N96" s="84">
        <v>42393</v>
      </c>
    </row>
    <row r="97" spans="1:14" x14ac:dyDescent="0.15">
      <c r="A97" s="83">
        <v>2020</v>
      </c>
      <c r="B97" s="84">
        <v>42393</v>
      </c>
      <c r="C97" s="84">
        <v>42422</v>
      </c>
      <c r="D97" s="84">
        <v>42452</v>
      </c>
      <c r="E97" s="85">
        <v>42482</v>
      </c>
      <c r="F97" s="84">
        <v>42541</v>
      </c>
      <c r="G97" s="84">
        <v>42571</v>
      </c>
      <c r="H97" s="84">
        <v>42600</v>
      </c>
      <c r="I97" s="84">
        <v>42629</v>
      </c>
      <c r="J97" s="84">
        <v>42659</v>
      </c>
      <c r="K97" s="84">
        <v>42688</v>
      </c>
      <c r="L97" s="84">
        <v>42718</v>
      </c>
      <c r="M97" s="84">
        <v>42747</v>
      </c>
      <c r="N97" s="84">
        <v>42777</v>
      </c>
    </row>
    <row r="98" spans="1:14" x14ac:dyDescent="0.15">
      <c r="A98" s="83">
        <v>2021</v>
      </c>
      <c r="B98" s="84">
        <v>42777</v>
      </c>
      <c r="C98" s="84">
        <v>42806</v>
      </c>
      <c r="D98" s="84">
        <v>42836</v>
      </c>
      <c r="E98" s="84">
        <v>42866</v>
      </c>
      <c r="F98" s="84">
        <v>42895</v>
      </c>
      <c r="G98" s="84">
        <v>42925</v>
      </c>
      <c r="H98" s="84">
        <v>42954</v>
      </c>
      <c r="I98" s="84">
        <v>42984</v>
      </c>
      <c r="J98" s="84">
        <v>43013</v>
      </c>
      <c r="K98" s="84">
        <v>43043</v>
      </c>
      <c r="L98" s="84">
        <v>43072</v>
      </c>
      <c r="M98" s="84">
        <v>43102</v>
      </c>
      <c r="N98" s="84">
        <v>43131</v>
      </c>
    </row>
    <row r="99" spans="1:14" x14ac:dyDescent="0.15">
      <c r="A99" s="83">
        <v>2022</v>
      </c>
      <c r="B99" s="84">
        <v>43131</v>
      </c>
      <c r="C99" s="84">
        <v>43161</v>
      </c>
      <c r="D99" s="84">
        <v>43190</v>
      </c>
      <c r="E99" s="84">
        <v>43220</v>
      </c>
      <c r="F99" s="84">
        <v>43249</v>
      </c>
      <c r="G99" s="84">
        <v>43279</v>
      </c>
      <c r="H99" s="84">
        <v>43309</v>
      </c>
      <c r="I99" s="84">
        <v>43338</v>
      </c>
      <c r="J99" s="84">
        <v>43368</v>
      </c>
      <c r="K99" s="84">
        <v>43397</v>
      </c>
      <c r="L99" s="84">
        <v>43427</v>
      </c>
      <c r="M99" s="84">
        <v>43456</v>
      </c>
      <c r="N99" s="84">
        <v>43486</v>
      </c>
    </row>
    <row r="100" spans="1:14" x14ac:dyDescent="0.15">
      <c r="A100" s="83">
        <v>2023</v>
      </c>
      <c r="B100" s="84">
        <v>43486</v>
      </c>
      <c r="C100" s="85">
        <v>43515</v>
      </c>
      <c r="D100" s="84">
        <v>43574</v>
      </c>
      <c r="E100" s="84">
        <v>43603</v>
      </c>
      <c r="F100" s="84">
        <v>43633</v>
      </c>
      <c r="G100" s="84">
        <v>43663</v>
      </c>
      <c r="H100" s="84">
        <v>43692</v>
      </c>
      <c r="I100" s="84">
        <v>43722</v>
      </c>
      <c r="J100" s="84">
        <v>43752</v>
      </c>
      <c r="K100" s="84">
        <v>43781</v>
      </c>
      <c r="L100" s="84">
        <v>43810</v>
      </c>
      <c r="M100" s="84">
        <v>43840</v>
      </c>
      <c r="N100" s="84">
        <v>43870</v>
      </c>
    </row>
    <row r="101" spans="1:14" x14ac:dyDescent="0.15">
      <c r="A101" s="83">
        <v>2024</v>
      </c>
      <c r="B101" s="84">
        <v>43870</v>
      </c>
      <c r="C101" s="84">
        <v>43899</v>
      </c>
      <c r="D101" s="84">
        <v>43929</v>
      </c>
      <c r="E101" s="84">
        <v>43958</v>
      </c>
      <c r="F101" s="84">
        <v>43987</v>
      </c>
      <c r="G101" s="84">
        <v>44017</v>
      </c>
      <c r="H101" s="84">
        <v>44046</v>
      </c>
      <c r="I101" s="84">
        <v>44076</v>
      </c>
      <c r="J101" s="84">
        <v>44106</v>
      </c>
      <c r="K101" s="84">
        <v>44135</v>
      </c>
      <c r="L101" s="84">
        <v>44165</v>
      </c>
      <c r="M101" s="84">
        <v>44195</v>
      </c>
      <c r="N101" s="84">
        <v>44224</v>
      </c>
    </row>
    <row r="102" spans="1:14" x14ac:dyDescent="0.15">
      <c r="A102" s="83">
        <v>2025</v>
      </c>
      <c r="B102" s="84">
        <v>44224</v>
      </c>
      <c r="C102" s="84">
        <v>44254</v>
      </c>
      <c r="D102" s="84">
        <v>44283</v>
      </c>
      <c r="E102" s="84">
        <v>44313</v>
      </c>
      <c r="F102" s="84">
        <v>44342</v>
      </c>
      <c r="G102" s="85">
        <v>44371</v>
      </c>
      <c r="H102" s="84">
        <v>44430</v>
      </c>
      <c r="I102" s="84">
        <v>44460</v>
      </c>
      <c r="J102" s="84">
        <v>44489</v>
      </c>
      <c r="K102" s="84">
        <v>44519</v>
      </c>
      <c r="L102" s="84">
        <v>44549</v>
      </c>
      <c r="M102" s="84">
        <v>44579</v>
      </c>
      <c r="N102" s="84">
        <v>44608</v>
      </c>
    </row>
    <row r="103" spans="1:14" x14ac:dyDescent="0.15">
      <c r="A103" s="83">
        <v>2026</v>
      </c>
      <c r="B103" s="84">
        <v>44608</v>
      </c>
      <c r="C103" s="84">
        <v>44638</v>
      </c>
      <c r="D103" s="84">
        <v>44667</v>
      </c>
      <c r="E103" s="84">
        <v>44697</v>
      </c>
      <c r="F103" s="84">
        <v>44726</v>
      </c>
      <c r="G103" s="84">
        <v>44755</v>
      </c>
      <c r="H103" s="84">
        <v>44785</v>
      </c>
      <c r="I103" s="84">
        <v>44814</v>
      </c>
      <c r="J103" s="84">
        <v>44843</v>
      </c>
      <c r="K103" s="84">
        <v>44873</v>
      </c>
      <c r="L103" s="84">
        <v>44903</v>
      </c>
      <c r="M103" s="84">
        <v>44933</v>
      </c>
      <c r="N103" s="84">
        <v>44962</v>
      </c>
    </row>
    <row r="104" spans="1:14" x14ac:dyDescent="0.15">
      <c r="A104" s="83">
        <v>2027</v>
      </c>
      <c r="B104" s="84">
        <v>44962</v>
      </c>
      <c r="C104" s="84">
        <v>44992</v>
      </c>
      <c r="D104" s="84">
        <v>45022</v>
      </c>
      <c r="E104" s="84">
        <v>45051</v>
      </c>
      <c r="F104" s="84">
        <v>45081</v>
      </c>
      <c r="G104" s="84">
        <v>45110</v>
      </c>
      <c r="H104" s="84">
        <v>45139</v>
      </c>
      <c r="I104" s="84">
        <v>45169</v>
      </c>
      <c r="J104" s="84">
        <v>45198</v>
      </c>
      <c r="K104" s="84">
        <v>45227</v>
      </c>
      <c r="L104" s="84">
        <v>45257</v>
      </c>
      <c r="M104" s="84">
        <v>45287</v>
      </c>
      <c r="N104" s="84">
        <v>45316</v>
      </c>
    </row>
    <row r="105" spans="1:14" x14ac:dyDescent="0.15">
      <c r="A105" s="83">
        <v>2028</v>
      </c>
      <c r="B105" s="84">
        <v>45316</v>
      </c>
      <c r="C105" s="84">
        <v>45346</v>
      </c>
      <c r="D105" s="84">
        <v>45376</v>
      </c>
      <c r="E105" s="84">
        <v>45406</v>
      </c>
      <c r="F105" s="85">
        <v>45435</v>
      </c>
      <c r="G105" s="84">
        <v>45494</v>
      </c>
      <c r="H105" s="84">
        <v>45523</v>
      </c>
      <c r="I105" s="84">
        <v>45553</v>
      </c>
      <c r="J105" s="84">
        <v>45582</v>
      </c>
      <c r="K105" s="84">
        <v>45611</v>
      </c>
      <c r="L105" s="84">
        <v>45641</v>
      </c>
      <c r="M105" s="84">
        <v>45671</v>
      </c>
      <c r="N105" s="84">
        <v>45700</v>
      </c>
    </row>
    <row r="106" spans="1:14" x14ac:dyDescent="0.15">
      <c r="A106" s="83">
        <v>2029</v>
      </c>
      <c r="B106" s="84">
        <v>45700</v>
      </c>
      <c r="C106" s="84">
        <v>45730</v>
      </c>
      <c r="D106" s="84">
        <v>45760</v>
      </c>
      <c r="E106" s="84">
        <v>45789</v>
      </c>
      <c r="F106" s="84">
        <v>45819</v>
      </c>
      <c r="G106" s="84">
        <v>45848</v>
      </c>
      <c r="H106" s="84">
        <v>45878</v>
      </c>
      <c r="I106" s="84">
        <v>45907</v>
      </c>
      <c r="J106" s="84">
        <v>45937</v>
      </c>
      <c r="K106" s="84">
        <v>45966</v>
      </c>
      <c r="L106" s="84">
        <v>45995</v>
      </c>
      <c r="M106" s="84">
        <v>46025</v>
      </c>
      <c r="N106" s="84">
        <v>46055</v>
      </c>
    </row>
    <row r="107" spans="1:14" x14ac:dyDescent="0.15">
      <c r="A107" s="83">
        <v>2030</v>
      </c>
      <c r="B107" s="84">
        <v>46055</v>
      </c>
      <c r="C107" s="84">
        <v>46084</v>
      </c>
      <c r="D107" s="84">
        <v>46114</v>
      </c>
      <c r="E107" s="84">
        <v>46143</v>
      </c>
      <c r="F107" s="84">
        <v>46173</v>
      </c>
      <c r="G107" s="84">
        <v>46203</v>
      </c>
      <c r="H107" s="84">
        <v>46232</v>
      </c>
      <c r="I107" s="84">
        <v>46262</v>
      </c>
      <c r="J107" s="84">
        <v>46291</v>
      </c>
      <c r="K107" s="84">
        <v>46321</v>
      </c>
      <c r="L107" s="84">
        <v>46350</v>
      </c>
      <c r="M107" s="84">
        <v>46380</v>
      </c>
      <c r="N107" s="84">
        <v>46409</v>
      </c>
    </row>
    <row r="108" spans="1:14" x14ac:dyDescent="0.15">
      <c r="A108" s="83">
        <v>2031</v>
      </c>
      <c r="B108" s="84">
        <v>46409</v>
      </c>
      <c r="C108" s="84">
        <v>46438</v>
      </c>
      <c r="D108" s="85">
        <v>46468</v>
      </c>
      <c r="E108" s="84">
        <v>46527</v>
      </c>
      <c r="F108" s="84">
        <v>46557</v>
      </c>
      <c r="G108" s="84">
        <v>46586</v>
      </c>
      <c r="H108" s="84">
        <v>46616</v>
      </c>
      <c r="I108" s="84">
        <v>46646</v>
      </c>
      <c r="J108" s="84">
        <v>46675</v>
      </c>
      <c r="K108" s="84">
        <v>46705</v>
      </c>
      <c r="L108" s="84">
        <v>46734</v>
      </c>
      <c r="M108" s="84">
        <v>46764</v>
      </c>
      <c r="N108" s="84">
        <v>46793</v>
      </c>
    </row>
    <row r="109" spans="1:14" x14ac:dyDescent="0.15">
      <c r="A109" s="83">
        <v>2032</v>
      </c>
      <c r="B109" s="84">
        <v>46793</v>
      </c>
      <c r="C109" s="84">
        <v>46823</v>
      </c>
      <c r="D109" s="84">
        <v>46852</v>
      </c>
      <c r="E109" s="84">
        <v>46881</v>
      </c>
      <c r="F109" s="84">
        <v>46911</v>
      </c>
      <c r="G109" s="84">
        <v>46940</v>
      </c>
      <c r="H109" s="84">
        <v>46970</v>
      </c>
      <c r="I109" s="84">
        <v>47000</v>
      </c>
      <c r="J109" s="84">
        <v>47029</v>
      </c>
      <c r="K109" s="84">
        <v>47059</v>
      </c>
      <c r="L109" s="84">
        <v>47089</v>
      </c>
      <c r="M109" s="84">
        <v>47118</v>
      </c>
      <c r="N109" s="84">
        <v>47148</v>
      </c>
    </row>
    <row r="110" spans="1:14" x14ac:dyDescent="0.15">
      <c r="A110" s="83">
        <v>2033</v>
      </c>
      <c r="B110" s="84">
        <v>47148</v>
      </c>
      <c r="C110" s="84">
        <v>47177</v>
      </c>
      <c r="D110" s="84">
        <v>47207</v>
      </c>
      <c r="E110" s="84">
        <v>47236</v>
      </c>
      <c r="F110" s="84">
        <v>47265</v>
      </c>
      <c r="G110" s="84">
        <v>47295</v>
      </c>
      <c r="H110" s="84">
        <v>47324</v>
      </c>
      <c r="I110" s="84">
        <v>47354</v>
      </c>
      <c r="J110" s="84">
        <v>47383</v>
      </c>
      <c r="K110" s="84">
        <v>47413</v>
      </c>
      <c r="L110" s="85">
        <v>47443</v>
      </c>
      <c r="M110" s="84">
        <v>47502</v>
      </c>
      <c r="N110" s="84">
        <v>47532</v>
      </c>
    </row>
    <row r="111" spans="1:14" x14ac:dyDescent="0.15">
      <c r="A111" s="83">
        <v>2034</v>
      </c>
      <c r="B111" s="84">
        <v>47532</v>
      </c>
      <c r="C111" s="84">
        <v>47561</v>
      </c>
      <c r="D111" s="84">
        <v>47591</v>
      </c>
      <c r="E111" s="84">
        <v>47620</v>
      </c>
      <c r="F111" s="84">
        <v>47649</v>
      </c>
      <c r="G111" s="84">
        <v>47679</v>
      </c>
      <c r="H111" s="84">
        <v>47708</v>
      </c>
      <c r="I111" s="84">
        <v>47738</v>
      </c>
      <c r="J111" s="84">
        <v>47767</v>
      </c>
      <c r="K111" s="84">
        <v>47797</v>
      </c>
      <c r="L111" s="84">
        <v>47827</v>
      </c>
      <c r="M111" s="84">
        <v>47856</v>
      </c>
      <c r="N111" s="84">
        <v>47886</v>
      </c>
    </row>
    <row r="112" spans="1:14" x14ac:dyDescent="0.15">
      <c r="A112" s="83">
        <v>2035</v>
      </c>
      <c r="B112" s="84">
        <v>47886</v>
      </c>
      <c r="C112" s="84">
        <v>47916</v>
      </c>
      <c r="D112" s="84">
        <v>47945</v>
      </c>
      <c r="E112" s="84">
        <v>47975</v>
      </c>
      <c r="F112" s="84">
        <v>48004</v>
      </c>
      <c r="G112" s="84">
        <v>48033</v>
      </c>
      <c r="H112" s="84">
        <v>48063</v>
      </c>
      <c r="I112" s="84">
        <v>48092</v>
      </c>
      <c r="J112" s="84">
        <v>48121</v>
      </c>
      <c r="K112" s="84">
        <v>48151</v>
      </c>
      <c r="L112" s="84">
        <v>48181</v>
      </c>
      <c r="M112" s="84">
        <v>48210</v>
      </c>
      <c r="N112" s="84">
        <v>48240</v>
      </c>
    </row>
    <row r="113" spans="1:14" x14ac:dyDescent="0.15">
      <c r="A113" s="83">
        <v>2036</v>
      </c>
      <c r="B113" s="84">
        <v>48240</v>
      </c>
      <c r="C113" s="84">
        <v>48270</v>
      </c>
      <c r="D113" s="84">
        <v>48300</v>
      </c>
      <c r="E113" s="84">
        <v>48329</v>
      </c>
      <c r="F113" s="84">
        <v>48359</v>
      </c>
      <c r="G113" s="85">
        <v>48388</v>
      </c>
      <c r="H113" s="84">
        <v>48447</v>
      </c>
      <c r="I113" s="84">
        <v>48476</v>
      </c>
      <c r="J113" s="84">
        <v>48505</v>
      </c>
      <c r="K113" s="84">
        <v>48535</v>
      </c>
      <c r="L113" s="84">
        <v>48564</v>
      </c>
      <c r="M113" s="84">
        <v>48594</v>
      </c>
      <c r="N113" s="84">
        <v>48624</v>
      </c>
    </row>
    <row r="114" spans="1:14" x14ac:dyDescent="0.15">
      <c r="A114" s="83">
        <v>2037</v>
      </c>
      <c r="B114" s="84">
        <v>48624</v>
      </c>
      <c r="C114" s="84">
        <v>48654</v>
      </c>
      <c r="D114" s="84">
        <v>48684</v>
      </c>
      <c r="E114" s="84">
        <v>48713</v>
      </c>
      <c r="F114" s="84">
        <v>48743</v>
      </c>
      <c r="G114" s="84">
        <v>48772</v>
      </c>
      <c r="H114" s="84">
        <v>48801</v>
      </c>
      <c r="I114" s="84">
        <v>48831</v>
      </c>
      <c r="J114" s="84">
        <v>48860</v>
      </c>
      <c r="K114" s="84">
        <v>48889</v>
      </c>
      <c r="L114" s="84">
        <v>48919</v>
      </c>
      <c r="M114" s="84">
        <v>48948</v>
      </c>
      <c r="N114" s="84">
        <v>48978</v>
      </c>
    </row>
    <row r="115" spans="1:14" x14ac:dyDescent="0.15">
      <c r="A115" s="83">
        <v>2038</v>
      </c>
      <c r="B115" s="84">
        <v>48978</v>
      </c>
      <c r="C115" s="84">
        <v>49008</v>
      </c>
      <c r="D115" s="84">
        <v>49038</v>
      </c>
      <c r="E115" s="84">
        <v>49067</v>
      </c>
      <c r="F115" s="84">
        <v>49097</v>
      </c>
      <c r="G115" s="84">
        <v>49126</v>
      </c>
      <c r="H115" s="84">
        <v>49156</v>
      </c>
      <c r="I115" s="84">
        <v>49185</v>
      </c>
      <c r="J115" s="84">
        <v>49215</v>
      </c>
      <c r="K115" s="84">
        <v>49244</v>
      </c>
      <c r="L115" s="84">
        <v>49273</v>
      </c>
      <c r="M115" s="84">
        <v>49303</v>
      </c>
      <c r="N115" s="84">
        <v>49332</v>
      </c>
    </row>
    <row r="116" spans="1:14" x14ac:dyDescent="0.15">
      <c r="A116" s="83">
        <v>2039</v>
      </c>
      <c r="B116" s="84">
        <v>49332</v>
      </c>
      <c r="C116" s="84">
        <v>49362</v>
      </c>
      <c r="D116" s="84">
        <v>49391</v>
      </c>
      <c r="E116" s="84">
        <v>49421</v>
      </c>
      <c r="F116" s="85">
        <v>49451</v>
      </c>
      <c r="G116" s="84">
        <v>49510</v>
      </c>
      <c r="H116" s="84">
        <v>49540</v>
      </c>
      <c r="I116" s="84">
        <v>49569</v>
      </c>
      <c r="J116" s="84">
        <v>49599</v>
      </c>
      <c r="K116" s="84">
        <v>49628</v>
      </c>
      <c r="L116" s="84">
        <v>49658</v>
      </c>
      <c r="M116" s="84">
        <v>49687</v>
      </c>
      <c r="N116" s="84">
        <v>49716</v>
      </c>
    </row>
    <row r="117" spans="1:14" x14ac:dyDescent="0.15">
      <c r="A117" s="83">
        <v>2040</v>
      </c>
      <c r="B117" s="84">
        <v>49716</v>
      </c>
      <c r="C117" s="84">
        <v>49746</v>
      </c>
      <c r="D117" s="84">
        <v>49775</v>
      </c>
      <c r="E117" s="84">
        <v>49805</v>
      </c>
      <c r="F117" s="84">
        <v>49835</v>
      </c>
      <c r="G117" s="84">
        <v>49864</v>
      </c>
      <c r="H117" s="84">
        <v>49894</v>
      </c>
      <c r="I117" s="84">
        <v>49923</v>
      </c>
      <c r="J117" s="84">
        <v>49953</v>
      </c>
      <c r="K117" s="84">
        <v>49983</v>
      </c>
      <c r="L117" s="84">
        <v>50012</v>
      </c>
      <c r="M117" s="84">
        <v>50042</v>
      </c>
      <c r="N117" s="84">
        <v>50071</v>
      </c>
    </row>
    <row r="118" spans="1:14" x14ac:dyDescent="0.15">
      <c r="A118" s="83">
        <v>2041</v>
      </c>
      <c r="B118" s="84">
        <v>50071</v>
      </c>
      <c r="C118" s="84">
        <v>50100</v>
      </c>
      <c r="D118" s="84">
        <v>50130</v>
      </c>
      <c r="E118" s="84">
        <v>50159</v>
      </c>
      <c r="F118" s="84">
        <v>50189</v>
      </c>
      <c r="G118" s="84">
        <v>50218</v>
      </c>
      <c r="H118" s="84">
        <v>50248</v>
      </c>
      <c r="I118" s="84">
        <v>50278</v>
      </c>
      <c r="J118" s="84">
        <v>50307</v>
      </c>
      <c r="K118" s="84">
        <v>50337</v>
      </c>
      <c r="L118" s="84">
        <v>50367</v>
      </c>
      <c r="M118" s="84">
        <v>50396</v>
      </c>
      <c r="N118" s="84">
        <v>50426</v>
      </c>
    </row>
    <row r="119" spans="1:14" x14ac:dyDescent="0.15">
      <c r="A119" s="83">
        <v>2042</v>
      </c>
      <c r="B119" s="84">
        <v>50426</v>
      </c>
      <c r="C119" s="85">
        <v>50455</v>
      </c>
      <c r="D119" s="84">
        <v>50514</v>
      </c>
      <c r="E119" s="84">
        <v>50543</v>
      </c>
      <c r="F119" s="84">
        <v>50573</v>
      </c>
      <c r="G119" s="84">
        <v>50602</v>
      </c>
      <c r="H119" s="84">
        <v>50632</v>
      </c>
      <c r="I119" s="84">
        <v>50661</v>
      </c>
      <c r="J119" s="84">
        <v>50691</v>
      </c>
      <c r="K119" s="84">
        <v>50721</v>
      </c>
      <c r="L119" s="84">
        <v>50750</v>
      </c>
      <c r="M119" s="84">
        <v>50780</v>
      </c>
      <c r="N119" s="84">
        <v>50810</v>
      </c>
    </row>
    <row r="120" spans="1:14" ht="14" x14ac:dyDescent="0.2">
      <c r="A120" s="83">
        <v>2043</v>
      </c>
      <c r="B120" s="84">
        <v>50810</v>
      </c>
      <c r="C120" s="84">
        <v>50839</v>
      </c>
      <c r="D120" s="84">
        <v>50869</v>
      </c>
      <c r="E120" s="84">
        <v>50898</v>
      </c>
      <c r="F120" s="84">
        <v>50927</v>
      </c>
      <c r="G120" s="84">
        <v>50957</v>
      </c>
      <c r="H120" s="84">
        <v>50986</v>
      </c>
      <c r="I120" s="84">
        <v>51015</v>
      </c>
      <c r="J120" s="84">
        <v>51045</v>
      </c>
      <c r="K120" s="84">
        <v>51075</v>
      </c>
      <c r="L120" s="84">
        <v>51104</v>
      </c>
      <c r="M120" s="84">
        <v>51134</v>
      </c>
      <c r="N120" s="86"/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6343B-65A0-4296-A175-76F196A77F3F}">
  <sheetPr codeName="Sheet5"/>
  <dimension ref="A1"/>
  <sheetViews>
    <sheetView zoomScale="276" workbookViewId="0">
      <selection activeCell="U9" sqref="U9"/>
    </sheetView>
  </sheetViews>
  <sheetFormatPr baseColWidth="10" defaultColWidth="8.83203125" defaultRowHeight="13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3587B-65B1-E748-B3F0-3DE68D7C87C0}">
  <dimension ref="C5:F123"/>
  <sheetViews>
    <sheetView tabSelected="1" topLeftCell="A99" zoomScale="159" workbookViewId="0">
      <selection activeCell="F87" sqref="C87:F87"/>
    </sheetView>
  </sheetViews>
  <sheetFormatPr baseColWidth="10" defaultRowHeight="13" x14ac:dyDescent="0.2"/>
  <sheetData>
    <row r="5" spans="3:6" x14ac:dyDescent="0.2">
      <c r="C5">
        <v>1925</v>
      </c>
      <c r="D5" s="81">
        <v>7694</v>
      </c>
      <c r="E5" s="81">
        <v>7694</v>
      </c>
      <c r="F5">
        <f>D5-E5</f>
        <v>0</v>
      </c>
    </row>
    <row r="6" spans="3:6" x14ac:dyDescent="0.2">
      <c r="C6">
        <v>1926</v>
      </c>
      <c r="D6" s="81">
        <v>8079</v>
      </c>
      <c r="E6" s="81">
        <v>8079</v>
      </c>
      <c r="F6">
        <f t="shared" ref="F6:F69" si="0">D6-E6</f>
        <v>0</v>
      </c>
    </row>
    <row r="7" spans="3:6" x14ac:dyDescent="0.2">
      <c r="C7">
        <v>1927</v>
      </c>
      <c r="D7" s="81">
        <v>8433</v>
      </c>
      <c r="E7" s="81">
        <v>8433</v>
      </c>
      <c r="F7">
        <f t="shared" si="0"/>
        <v>0</v>
      </c>
    </row>
    <row r="8" spans="3:6" x14ac:dyDescent="0.2">
      <c r="C8">
        <v>1928</v>
      </c>
      <c r="D8" s="81">
        <v>8788</v>
      </c>
      <c r="E8" s="81">
        <v>8788</v>
      </c>
      <c r="F8">
        <f t="shared" si="0"/>
        <v>0</v>
      </c>
    </row>
    <row r="9" spans="3:6" x14ac:dyDescent="0.2">
      <c r="C9">
        <v>1929</v>
      </c>
      <c r="D9" s="81">
        <v>9172</v>
      </c>
      <c r="E9" s="81">
        <v>9172</v>
      </c>
      <c r="F9">
        <f t="shared" si="0"/>
        <v>0</v>
      </c>
    </row>
    <row r="10" spans="3:6" x14ac:dyDescent="0.2">
      <c r="C10">
        <v>1930</v>
      </c>
      <c r="D10" s="81">
        <v>9526</v>
      </c>
      <c r="E10" s="81">
        <v>9526</v>
      </c>
      <c r="F10">
        <f t="shared" si="0"/>
        <v>0</v>
      </c>
    </row>
    <row r="11" spans="3:6" x14ac:dyDescent="0.2">
      <c r="C11">
        <v>1931</v>
      </c>
      <c r="D11" s="81">
        <v>9909</v>
      </c>
      <c r="E11" s="81">
        <v>9909</v>
      </c>
      <c r="F11">
        <f t="shared" si="0"/>
        <v>0</v>
      </c>
    </row>
    <row r="12" spans="3:6" x14ac:dyDescent="0.2">
      <c r="C12">
        <v>1932</v>
      </c>
      <c r="D12" s="81">
        <v>10263</v>
      </c>
      <c r="E12" s="81">
        <v>10263</v>
      </c>
      <c r="F12">
        <f t="shared" si="0"/>
        <v>0</v>
      </c>
    </row>
    <row r="13" spans="3:6" x14ac:dyDescent="0.2">
      <c r="C13">
        <v>1933</v>
      </c>
      <c r="D13" s="81">
        <v>10618</v>
      </c>
      <c r="E13" s="81">
        <v>10618</v>
      </c>
      <c r="F13">
        <f t="shared" si="0"/>
        <v>0</v>
      </c>
    </row>
    <row r="14" spans="3:6" x14ac:dyDescent="0.2">
      <c r="C14">
        <v>1934</v>
      </c>
      <c r="D14" s="81">
        <v>11002</v>
      </c>
      <c r="E14" s="81">
        <v>11002</v>
      </c>
      <c r="F14">
        <f t="shared" si="0"/>
        <v>0</v>
      </c>
    </row>
    <row r="15" spans="3:6" x14ac:dyDescent="0.2">
      <c r="C15">
        <v>1935</v>
      </c>
      <c r="D15" s="81">
        <v>11357</v>
      </c>
      <c r="E15" s="81">
        <v>11357</v>
      </c>
      <c r="F15">
        <f t="shared" si="0"/>
        <v>0</v>
      </c>
    </row>
    <row r="16" spans="3:6" x14ac:dyDescent="0.2">
      <c r="C16">
        <v>1936</v>
      </c>
      <c r="D16" s="81">
        <v>11711</v>
      </c>
      <c r="E16" s="81">
        <v>11711</v>
      </c>
      <c r="F16">
        <f t="shared" si="0"/>
        <v>0</v>
      </c>
    </row>
    <row r="17" spans="3:6" x14ac:dyDescent="0.2">
      <c r="C17">
        <v>1937</v>
      </c>
      <c r="D17" s="81">
        <v>12095</v>
      </c>
      <c r="E17" s="81">
        <v>12095</v>
      </c>
      <c r="F17">
        <f t="shared" si="0"/>
        <v>0</v>
      </c>
    </row>
    <row r="18" spans="3:6" x14ac:dyDescent="0.2">
      <c r="C18">
        <v>1938</v>
      </c>
      <c r="D18" s="81">
        <v>12449</v>
      </c>
      <c r="E18" s="81">
        <v>12449</v>
      </c>
      <c r="F18">
        <f t="shared" si="0"/>
        <v>0</v>
      </c>
    </row>
    <row r="19" spans="3:6" x14ac:dyDescent="0.2">
      <c r="C19">
        <v>1939</v>
      </c>
      <c r="D19" s="81">
        <v>12833</v>
      </c>
      <c r="E19" s="81">
        <v>12833</v>
      </c>
      <c r="F19">
        <f t="shared" si="0"/>
        <v>0</v>
      </c>
    </row>
    <row r="20" spans="3:6" x14ac:dyDescent="0.2">
      <c r="C20">
        <v>1940</v>
      </c>
      <c r="D20" s="81">
        <v>13187</v>
      </c>
      <c r="E20" s="81">
        <v>13187</v>
      </c>
      <c r="F20">
        <f t="shared" si="0"/>
        <v>0</v>
      </c>
    </row>
    <row r="21" spans="3:6" x14ac:dyDescent="0.2">
      <c r="C21">
        <v>1941</v>
      </c>
      <c r="D21" s="81">
        <v>13541</v>
      </c>
      <c r="E21" s="81">
        <v>13541</v>
      </c>
      <c r="F21">
        <f t="shared" si="0"/>
        <v>0</v>
      </c>
    </row>
    <row r="22" spans="3:6" x14ac:dyDescent="0.2">
      <c r="C22">
        <v>1942</v>
      </c>
      <c r="D22" s="81">
        <v>13925</v>
      </c>
      <c r="E22" s="81">
        <v>13925</v>
      </c>
      <c r="F22">
        <f t="shared" si="0"/>
        <v>0</v>
      </c>
    </row>
    <row r="23" spans="3:6" x14ac:dyDescent="0.2">
      <c r="C23">
        <v>1943</v>
      </c>
      <c r="D23" s="81">
        <v>14280</v>
      </c>
      <c r="E23" s="81">
        <v>14280</v>
      </c>
      <c r="F23">
        <f t="shared" si="0"/>
        <v>0</v>
      </c>
    </row>
    <row r="24" spans="3:6" x14ac:dyDescent="0.2">
      <c r="C24">
        <v>1944</v>
      </c>
      <c r="D24" s="81">
        <v>14634</v>
      </c>
      <c r="E24" s="81">
        <v>14634</v>
      </c>
      <c r="F24">
        <f t="shared" si="0"/>
        <v>0</v>
      </c>
    </row>
    <row r="25" spans="3:6" x14ac:dyDescent="0.2">
      <c r="C25">
        <v>1945</v>
      </c>
      <c r="D25" s="81">
        <v>15019</v>
      </c>
      <c r="E25" s="81">
        <v>15019</v>
      </c>
      <c r="F25">
        <f t="shared" si="0"/>
        <v>0</v>
      </c>
    </row>
    <row r="26" spans="3:6" x14ac:dyDescent="0.2">
      <c r="C26">
        <v>1946</v>
      </c>
      <c r="D26" s="81">
        <v>15373</v>
      </c>
      <c r="E26" s="81">
        <v>15373</v>
      </c>
      <c r="F26">
        <f t="shared" si="0"/>
        <v>0</v>
      </c>
    </row>
    <row r="27" spans="3:6" x14ac:dyDescent="0.2">
      <c r="C27" s="293">
        <v>1947</v>
      </c>
      <c r="D27" s="294">
        <v>15726</v>
      </c>
      <c r="E27" s="294">
        <v>15727</v>
      </c>
      <c r="F27" s="293">
        <f t="shared" si="0"/>
        <v>-1</v>
      </c>
    </row>
    <row r="28" spans="3:6" x14ac:dyDescent="0.2">
      <c r="C28">
        <v>1948</v>
      </c>
      <c r="D28" s="81">
        <v>16111</v>
      </c>
      <c r="E28" s="81">
        <v>16111</v>
      </c>
      <c r="F28">
        <f t="shared" si="0"/>
        <v>0</v>
      </c>
    </row>
    <row r="29" spans="3:6" x14ac:dyDescent="0.2">
      <c r="C29">
        <v>1949</v>
      </c>
      <c r="D29" s="81">
        <v>16465</v>
      </c>
      <c r="E29" s="81">
        <v>16465</v>
      </c>
      <c r="F29">
        <f t="shared" si="0"/>
        <v>0</v>
      </c>
    </row>
    <row r="30" spans="3:6" x14ac:dyDescent="0.2">
      <c r="C30">
        <v>1950</v>
      </c>
      <c r="D30" s="81">
        <v>16849</v>
      </c>
      <c r="E30" s="81">
        <v>16849</v>
      </c>
      <c r="F30">
        <f t="shared" si="0"/>
        <v>0</v>
      </c>
    </row>
    <row r="31" spans="3:6" x14ac:dyDescent="0.2">
      <c r="C31">
        <v>1951</v>
      </c>
      <c r="D31" s="81">
        <v>17203</v>
      </c>
      <c r="E31" s="81">
        <v>17203</v>
      </c>
      <c r="F31">
        <f t="shared" si="0"/>
        <v>0</v>
      </c>
    </row>
    <row r="32" spans="3:6" x14ac:dyDescent="0.2">
      <c r="C32">
        <v>1952</v>
      </c>
      <c r="D32" s="81">
        <v>17558</v>
      </c>
      <c r="E32" s="81">
        <v>17558</v>
      </c>
      <c r="F32">
        <f t="shared" si="0"/>
        <v>0</v>
      </c>
    </row>
    <row r="33" spans="3:6" x14ac:dyDescent="0.2">
      <c r="C33">
        <v>1953</v>
      </c>
      <c r="D33" s="81">
        <v>17942</v>
      </c>
      <c r="E33" s="81">
        <v>17942</v>
      </c>
      <c r="F33">
        <f t="shared" si="0"/>
        <v>0</v>
      </c>
    </row>
    <row r="34" spans="3:6" x14ac:dyDescent="0.2">
      <c r="C34">
        <v>1954</v>
      </c>
      <c r="D34" s="81">
        <v>18296</v>
      </c>
      <c r="E34" s="81">
        <v>18296</v>
      </c>
      <c r="F34">
        <f t="shared" si="0"/>
        <v>0</v>
      </c>
    </row>
    <row r="35" spans="3:6" x14ac:dyDescent="0.2">
      <c r="C35">
        <v>1955</v>
      </c>
      <c r="D35" s="81">
        <v>18651</v>
      </c>
      <c r="E35" s="81">
        <v>18651</v>
      </c>
      <c r="F35">
        <f t="shared" si="0"/>
        <v>0</v>
      </c>
    </row>
    <row r="36" spans="3:6" x14ac:dyDescent="0.2">
      <c r="C36">
        <v>1956</v>
      </c>
      <c r="D36" s="81">
        <v>19035</v>
      </c>
      <c r="E36" s="81">
        <v>19035</v>
      </c>
      <c r="F36">
        <f t="shared" si="0"/>
        <v>0</v>
      </c>
    </row>
    <row r="37" spans="3:6" x14ac:dyDescent="0.2">
      <c r="C37">
        <v>1957</v>
      </c>
      <c r="D37" s="81">
        <v>19389</v>
      </c>
      <c r="E37" s="81">
        <v>19389</v>
      </c>
      <c r="F37">
        <f t="shared" si="0"/>
        <v>0</v>
      </c>
    </row>
    <row r="38" spans="3:6" x14ac:dyDescent="0.2">
      <c r="C38">
        <v>1958</v>
      </c>
      <c r="D38" s="81">
        <v>19772</v>
      </c>
      <c r="E38" s="81">
        <v>19772</v>
      </c>
      <c r="F38">
        <f t="shared" si="0"/>
        <v>0</v>
      </c>
    </row>
    <row r="39" spans="3:6" x14ac:dyDescent="0.2">
      <c r="C39">
        <v>1959</v>
      </c>
      <c r="D39" s="81">
        <v>20127</v>
      </c>
      <c r="E39" s="81">
        <v>20127</v>
      </c>
      <c r="F39">
        <f t="shared" si="0"/>
        <v>0</v>
      </c>
    </row>
    <row r="40" spans="3:6" x14ac:dyDescent="0.2">
      <c r="C40">
        <v>1960</v>
      </c>
      <c r="D40" s="81">
        <v>20481</v>
      </c>
      <c r="E40" s="81">
        <v>20481</v>
      </c>
      <c r="F40">
        <f t="shared" si="0"/>
        <v>0</v>
      </c>
    </row>
    <row r="41" spans="3:6" x14ac:dyDescent="0.2">
      <c r="C41">
        <v>1961</v>
      </c>
      <c r="D41" s="81">
        <v>20865</v>
      </c>
      <c r="E41" s="81">
        <v>20865</v>
      </c>
      <c r="F41">
        <f t="shared" si="0"/>
        <v>0</v>
      </c>
    </row>
    <row r="42" spans="3:6" x14ac:dyDescent="0.2">
      <c r="C42">
        <v>1962</v>
      </c>
      <c r="D42" s="81">
        <v>21220</v>
      </c>
      <c r="E42" s="81">
        <v>21220</v>
      </c>
      <c r="F42">
        <f t="shared" si="0"/>
        <v>0</v>
      </c>
    </row>
    <row r="43" spans="3:6" x14ac:dyDescent="0.2">
      <c r="C43">
        <v>1963</v>
      </c>
      <c r="D43" s="81">
        <v>21574</v>
      </c>
      <c r="E43" s="81">
        <v>21574</v>
      </c>
      <c r="F43">
        <f t="shared" si="0"/>
        <v>0</v>
      </c>
    </row>
    <row r="44" spans="3:6" x14ac:dyDescent="0.2">
      <c r="C44">
        <v>1964</v>
      </c>
      <c r="D44" s="81">
        <v>21958</v>
      </c>
      <c r="E44" s="81">
        <v>21958</v>
      </c>
      <c r="F44">
        <f t="shared" si="0"/>
        <v>0</v>
      </c>
    </row>
    <row r="45" spans="3:6" x14ac:dyDescent="0.2">
      <c r="C45">
        <v>1965</v>
      </c>
      <c r="D45" s="81">
        <v>22313</v>
      </c>
      <c r="E45" s="81">
        <v>22313</v>
      </c>
      <c r="F45">
        <f t="shared" si="0"/>
        <v>0</v>
      </c>
    </row>
    <row r="46" spans="3:6" x14ac:dyDescent="0.2">
      <c r="C46">
        <v>1966</v>
      </c>
      <c r="D46" s="81">
        <v>22666</v>
      </c>
      <c r="E46" s="81">
        <v>22666</v>
      </c>
      <c r="F46">
        <f t="shared" si="0"/>
        <v>0</v>
      </c>
    </row>
    <row r="47" spans="3:6" x14ac:dyDescent="0.2">
      <c r="C47">
        <v>1967</v>
      </c>
      <c r="D47" s="81">
        <v>23050</v>
      </c>
      <c r="E47" s="81">
        <v>23050</v>
      </c>
      <c r="F47">
        <f t="shared" si="0"/>
        <v>0</v>
      </c>
    </row>
    <row r="48" spans="3:6" x14ac:dyDescent="0.2">
      <c r="C48">
        <v>1968</v>
      </c>
      <c r="D48" s="81">
        <v>23405</v>
      </c>
      <c r="E48" s="81">
        <v>23405</v>
      </c>
      <c r="F48">
        <f t="shared" si="0"/>
        <v>0</v>
      </c>
    </row>
    <row r="49" spans="3:6" x14ac:dyDescent="0.2">
      <c r="C49">
        <v>1969</v>
      </c>
      <c r="D49" s="81">
        <v>23789</v>
      </c>
      <c r="E49" s="81">
        <v>23789</v>
      </c>
      <c r="F49">
        <f t="shared" si="0"/>
        <v>0</v>
      </c>
    </row>
    <row r="50" spans="3:6" x14ac:dyDescent="0.2">
      <c r="C50">
        <v>1970</v>
      </c>
      <c r="D50" s="81">
        <v>24143</v>
      </c>
      <c r="E50" s="81">
        <v>24143</v>
      </c>
      <c r="F50">
        <f t="shared" si="0"/>
        <v>0</v>
      </c>
    </row>
    <row r="51" spans="3:6" x14ac:dyDescent="0.2">
      <c r="C51">
        <v>1971</v>
      </c>
      <c r="D51" s="81">
        <v>24498</v>
      </c>
      <c r="E51" s="81">
        <v>24498</v>
      </c>
      <c r="F51">
        <f t="shared" si="0"/>
        <v>0</v>
      </c>
    </row>
    <row r="52" spans="3:6" x14ac:dyDescent="0.2">
      <c r="C52">
        <v>1972</v>
      </c>
      <c r="D52" s="81">
        <v>24882</v>
      </c>
      <c r="E52" s="81">
        <v>24882</v>
      </c>
      <c r="F52">
        <f t="shared" si="0"/>
        <v>0</v>
      </c>
    </row>
    <row r="53" spans="3:6" x14ac:dyDescent="0.2">
      <c r="C53">
        <v>1973</v>
      </c>
      <c r="D53" s="81">
        <v>25236</v>
      </c>
      <c r="E53" s="81">
        <v>25236</v>
      </c>
      <c r="F53">
        <f t="shared" si="0"/>
        <v>0</v>
      </c>
    </row>
    <row r="54" spans="3:6" x14ac:dyDescent="0.2">
      <c r="C54">
        <v>1974</v>
      </c>
      <c r="D54" s="81">
        <v>25590</v>
      </c>
      <c r="E54" s="81">
        <v>25590</v>
      </c>
      <c r="F54">
        <f t="shared" si="0"/>
        <v>0</v>
      </c>
    </row>
    <row r="55" spans="3:6" x14ac:dyDescent="0.2">
      <c r="C55">
        <v>1975</v>
      </c>
      <c r="D55" s="81">
        <v>25974</v>
      </c>
      <c r="E55" s="81">
        <v>25974</v>
      </c>
      <c r="F55">
        <f t="shared" si="0"/>
        <v>0</v>
      </c>
    </row>
    <row r="56" spans="3:6" x14ac:dyDescent="0.2">
      <c r="C56">
        <v>1976</v>
      </c>
      <c r="D56" s="81">
        <v>26328</v>
      </c>
      <c r="E56" s="81">
        <v>26328</v>
      </c>
      <c r="F56">
        <f t="shared" si="0"/>
        <v>0</v>
      </c>
    </row>
    <row r="57" spans="3:6" x14ac:dyDescent="0.2">
      <c r="C57">
        <v>1977</v>
      </c>
      <c r="D57" s="81">
        <v>26712</v>
      </c>
      <c r="E57" s="81">
        <v>26712</v>
      </c>
      <c r="F57">
        <f t="shared" si="0"/>
        <v>0</v>
      </c>
    </row>
    <row r="58" spans="3:6" x14ac:dyDescent="0.2">
      <c r="C58">
        <v>1978</v>
      </c>
      <c r="D58" s="81">
        <v>27066</v>
      </c>
      <c r="E58" s="81">
        <v>27066</v>
      </c>
      <c r="F58">
        <f t="shared" si="0"/>
        <v>0</v>
      </c>
    </row>
    <row r="59" spans="3:6" x14ac:dyDescent="0.2">
      <c r="C59">
        <v>1979</v>
      </c>
      <c r="D59" s="81">
        <v>27421</v>
      </c>
      <c r="E59" s="81">
        <v>27421</v>
      </c>
      <c r="F59">
        <f t="shared" si="0"/>
        <v>0</v>
      </c>
    </row>
    <row r="60" spans="3:6" x14ac:dyDescent="0.2">
      <c r="C60">
        <v>1980</v>
      </c>
      <c r="D60" s="81">
        <v>27805</v>
      </c>
      <c r="E60" s="81">
        <v>27805</v>
      </c>
      <c r="F60">
        <f t="shared" si="0"/>
        <v>0</v>
      </c>
    </row>
    <row r="61" spans="3:6" x14ac:dyDescent="0.2">
      <c r="C61">
        <v>1981</v>
      </c>
      <c r="D61" s="81">
        <v>28160</v>
      </c>
      <c r="E61" s="81">
        <v>28160</v>
      </c>
      <c r="F61">
        <f t="shared" si="0"/>
        <v>0</v>
      </c>
    </row>
    <row r="62" spans="3:6" x14ac:dyDescent="0.2">
      <c r="C62">
        <v>1982</v>
      </c>
      <c r="D62" s="81">
        <v>28514</v>
      </c>
      <c r="E62" s="81">
        <v>28514</v>
      </c>
      <c r="F62">
        <f t="shared" si="0"/>
        <v>0</v>
      </c>
    </row>
    <row r="63" spans="3:6" x14ac:dyDescent="0.2">
      <c r="C63">
        <v>1983</v>
      </c>
      <c r="D63" s="81">
        <v>28898</v>
      </c>
      <c r="E63" s="81">
        <v>28898</v>
      </c>
      <c r="F63">
        <f t="shared" si="0"/>
        <v>0</v>
      </c>
    </row>
    <row r="64" spans="3:6" x14ac:dyDescent="0.2">
      <c r="C64">
        <v>1984</v>
      </c>
      <c r="D64" s="81">
        <v>29252</v>
      </c>
      <c r="E64" s="81">
        <v>29252</v>
      </c>
      <c r="F64">
        <f t="shared" si="0"/>
        <v>0</v>
      </c>
    </row>
    <row r="65" spans="3:6" x14ac:dyDescent="0.2">
      <c r="C65">
        <v>1985</v>
      </c>
      <c r="D65" s="81">
        <v>29636</v>
      </c>
      <c r="E65" s="81">
        <v>29636</v>
      </c>
      <c r="F65">
        <f t="shared" si="0"/>
        <v>0</v>
      </c>
    </row>
    <row r="66" spans="3:6" x14ac:dyDescent="0.2">
      <c r="C66">
        <v>1986</v>
      </c>
      <c r="D66" s="81">
        <v>29990</v>
      </c>
      <c r="E66" s="81">
        <v>29990</v>
      </c>
      <c r="F66">
        <f t="shared" si="0"/>
        <v>0</v>
      </c>
    </row>
    <row r="67" spans="3:6" x14ac:dyDescent="0.2">
      <c r="C67">
        <v>1987</v>
      </c>
      <c r="D67" s="81">
        <v>30344</v>
      </c>
      <c r="E67" s="81">
        <v>30344</v>
      </c>
      <c r="F67">
        <f t="shared" si="0"/>
        <v>0</v>
      </c>
    </row>
    <row r="68" spans="3:6" x14ac:dyDescent="0.2">
      <c r="C68">
        <v>1988</v>
      </c>
      <c r="D68" s="81">
        <v>30728</v>
      </c>
      <c r="E68" s="81">
        <v>30728</v>
      </c>
      <c r="F68">
        <f t="shared" si="0"/>
        <v>0</v>
      </c>
    </row>
    <row r="69" spans="3:6" x14ac:dyDescent="0.2">
      <c r="C69">
        <v>1989</v>
      </c>
      <c r="D69" s="81">
        <v>31083</v>
      </c>
      <c r="E69" s="81">
        <v>31083</v>
      </c>
      <c r="F69">
        <f t="shared" si="0"/>
        <v>0</v>
      </c>
    </row>
    <row r="70" spans="3:6" x14ac:dyDescent="0.2">
      <c r="C70">
        <v>1990</v>
      </c>
      <c r="D70" s="81">
        <v>31438</v>
      </c>
      <c r="E70" s="81">
        <v>31438</v>
      </c>
      <c r="F70">
        <f t="shared" ref="F70:F123" si="1">D70-E70</f>
        <v>0</v>
      </c>
    </row>
    <row r="71" spans="3:6" x14ac:dyDescent="0.2">
      <c r="C71">
        <v>1991</v>
      </c>
      <c r="D71" s="81">
        <v>31822</v>
      </c>
      <c r="E71" s="81">
        <v>31822</v>
      </c>
      <c r="F71">
        <f t="shared" si="1"/>
        <v>0</v>
      </c>
    </row>
    <row r="72" spans="3:6" x14ac:dyDescent="0.2">
      <c r="C72">
        <v>1992</v>
      </c>
      <c r="D72" s="81">
        <v>32176</v>
      </c>
      <c r="E72" s="81">
        <v>32176</v>
      </c>
      <c r="F72">
        <f t="shared" si="1"/>
        <v>0</v>
      </c>
    </row>
    <row r="73" spans="3:6" x14ac:dyDescent="0.2">
      <c r="C73" s="293">
        <v>1993</v>
      </c>
      <c r="D73" s="294">
        <v>32529</v>
      </c>
      <c r="E73" s="294">
        <v>32530</v>
      </c>
      <c r="F73" s="293">
        <f t="shared" si="1"/>
        <v>-1</v>
      </c>
    </row>
    <row r="74" spans="3:6" x14ac:dyDescent="0.2">
      <c r="C74">
        <v>1994</v>
      </c>
      <c r="D74" s="81">
        <v>32913</v>
      </c>
      <c r="E74" s="81">
        <v>32913</v>
      </c>
      <c r="F74">
        <f t="shared" si="1"/>
        <v>0</v>
      </c>
    </row>
    <row r="75" spans="3:6" x14ac:dyDescent="0.2">
      <c r="C75" s="293">
        <v>1995</v>
      </c>
      <c r="D75" s="294">
        <v>33267</v>
      </c>
      <c r="E75" s="294">
        <v>33268</v>
      </c>
      <c r="F75" s="293">
        <f t="shared" si="1"/>
        <v>-1</v>
      </c>
    </row>
    <row r="76" spans="3:6" x14ac:dyDescent="0.2">
      <c r="C76" s="293">
        <v>1996</v>
      </c>
      <c r="D76" s="294">
        <v>33651</v>
      </c>
      <c r="E76" s="294">
        <v>33652</v>
      </c>
      <c r="F76" s="293">
        <f t="shared" si="1"/>
        <v>-1</v>
      </c>
    </row>
    <row r="77" spans="3:6" x14ac:dyDescent="0.2">
      <c r="C77">
        <v>1997</v>
      </c>
      <c r="D77" s="81">
        <v>34006</v>
      </c>
      <c r="E77" s="81">
        <v>34006</v>
      </c>
      <c r="F77">
        <f t="shared" si="1"/>
        <v>0</v>
      </c>
    </row>
    <row r="78" spans="3:6" x14ac:dyDescent="0.2">
      <c r="C78">
        <v>1998</v>
      </c>
      <c r="D78" s="81">
        <v>34361</v>
      </c>
      <c r="E78" s="81">
        <v>34361</v>
      </c>
      <c r="F78">
        <f t="shared" si="1"/>
        <v>0</v>
      </c>
    </row>
    <row r="79" spans="3:6" x14ac:dyDescent="0.2">
      <c r="C79">
        <v>1999</v>
      </c>
      <c r="D79" s="81">
        <v>34745</v>
      </c>
      <c r="E79" s="81">
        <v>34745</v>
      </c>
      <c r="F79">
        <f t="shared" si="1"/>
        <v>0</v>
      </c>
    </row>
    <row r="80" spans="3:6" x14ac:dyDescent="0.2">
      <c r="C80">
        <v>2000</v>
      </c>
      <c r="D80" s="81">
        <v>35099</v>
      </c>
      <c r="E80" s="81">
        <v>35099</v>
      </c>
      <c r="F80">
        <f t="shared" si="1"/>
        <v>0</v>
      </c>
    </row>
    <row r="81" spans="3:6" x14ac:dyDescent="0.2">
      <c r="C81">
        <v>2001</v>
      </c>
      <c r="D81" s="81">
        <v>35453</v>
      </c>
      <c r="E81" s="81">
        <v>35453</v>
      </c>
      <c r="F81">
        <f t="shared" si="1"/>
        <v>0</v>
      </c>
    </row>
    <row r="82" spans="3:6" x14ac:dyDescent="0.2">
      <c r="C82">
        <v>2002</v>
      </c>
      <c r="D82" s="81">
        <v>35837</v>
      </c>
      <c r="E82" s="81">
        <v>35837</v>
      </c>
      <c r="F82">
        <f t="shared" si="1"/>
        <v>0</v>
      </c>
    </row>
    <row r="83" spans="3:6" x14ac:dyDescent="0.2">
      <c r="C83">
        <v>2003</v>
      </c>
      <c r="D83" s="81">
        <v>36191</v>
      </c>
      <c r="E83" s="81">
        <v>36191</v>
      </c>
      <c r="F83">
        <f t="shared" si="1"/>
        <v>0</v>
      </c>
    </row>
    <row r="84" spans="3:6" x14ac:dyDescent="0.2">
      <c r="C84" s="293">
        <v>2004</v>
      </c>
      <c r="D84" s="294">
        <v>36545</v>
      </c>
      <c r="E84" s="294">
        <v>36546</v>
      </c>
      <c r="F84" s="293">
        <f t="shared" si="1"/>
        <v>-1</v>
      </c>
    </row>
    <row r="85" spans="3:6" x14ac:dyDescent="0.2">
      <c r="C85" s="293">
        <v>2005</v>
      </c>
      <c r="D85" s="294">
        <v>36929</v>
      </c>
      <c r="E85" s="294">
        <v>36930</v>
      </c>
      <c r="F85" s="293">
        <f t="shared" si="1"/>
        <v>-1</v>
      </c>
    </row>
    <row r="86" spans="3:6" x14ac:dyDescent="0.2">
      <c r="C86">
        <v>2006</v>
      </c>
      <c r="D86" s="81">
        <v>37284</v>
      </c>
      <c r="E86" s="81">
        <v>37284</v>
      </c>
      <c r="F86">
        <f t="shared" si="1"/>
        <v>0</v>
      </c>
    </row>
    <row r="87" spans="3:6" x14ac:dyDescent="0.2">
      <c r="C87" s="293">
        <v>2007</v>
      </c>
      <c r="D87" s="294">
        <v>37668</v>
      </c>
      <c r="E87" s="294">
        <v>37669</v>
      </c>
      <c r="F87" s="293">
        <f t="shared" si="1"/>
        <v>-1</v>
      </c>
    </row>
    <row r="88" spans="3:6" x14ac:dyDescent="0.2">
      <c r="C88">
        <v>2008</v>
      </c>
      <c r="D88" s="81">
        <v>38023</v>
      </c>
      <c r="E88" s="81">
        <v>38023</v>
      </c>
      <c r="F88">
        <f t="shared" si="1"/>
        <v>0</v>
      </c>
    </row>
    <row r="89" spans="3:6" x14ac:dyDescent="0.2">
      <c r="C89">
        <v>2009</v>
      </c>
      <c r="D89" s="81">
        <v>38377</v>
      </c>
      <c r="E89" s="81">
        <v>38377</v>
      </c>
      <c r="F89">
        <f t="shared" si="1"/>
        <v>0</v>
      </c>
    </row>
    <row r="90" spans="3:6" x14ac:dyDescent="0.2">
      <c r="C90">
        <v>2010</v>
      </c>
      <c r="D90" s="81">
        <v>38761</v>
      </c>
      <c r="E90" s="81">
        <v>38761</v>
      </c>
      <c r="F90">
        <f t="shared" si="1"/>
        <v>0</v>
      </c>
    </row>
    <row r="91" spans="3:6" x14ac:dyDescent="0.2">
      <c r="C91">
        <v>2011</v>
      </c>
      <c r="D91" s="81">
        <v>39115</v>
      </c>
      <c r="E91" s="81">
        <v>39115</v>
      </c>
      <c r="F91">
        <f t="shared" si="1"/>
        <v>0</v>
      </c>
    </row>
    <row r="92" spans="3:6" x14ac:dyDescent="0.2">
      <c r="C92">
        <v>2012</v>
      </c>
      <c r="D92" s="81">
        <v>39469</v>
      </c>
      <c r="E92" s="81">
        <v>39469</v>
      </c>
      <c r="F92">
        <f t="shared" si="1"/>
        <v>0</v>
      </c>
    </row>
    <row r="93" spans="3:6" x14ac:dyDescent="0.2">
      <c r="C93">
        <v>2013</v>
      </c>
      <c r="D93" s="81">
        <v>39853</v>
      </c>
      <c r="E93" s="81">
        <v>39853</v>
      </c>
      <c r="F93">
        <f t="shared" si="1"/>
        <v>0</v>
      </c>
    </row>
    <row r="94" spans="3:6" x14ac:dyDescent="0.2">
      <c r="C94">
        <v>2014</v>
      </c>
      <c r="D94" s="84">
        <v>40208</v>
      </c>
      <c r="E94" s="84">
        <v>40208</v>
      </c>
      <c r="F94">
        <f t="shared" si="1"/>
        <v>0</v>
      </c>
    </row>
    <row r="95" spans="3:6" x14ac:dyDescent="0.2">
      <c r="C95">
        <v>2015</v>
      </c>
      <c r="D95" s="84">
        <v>40592</v>
      </c>
      <c r="E95" s="84">
        <v>40592</v>
      </c>
      <c r="F95">
        <f t="shared" si="1"/>
        <v>0</v>
      </c>
    </row>
    <row r="96" spans="3:6" x14ac:dyDescent="0.2">
      <c r="C96">
        <v>2016</v>
      </c>
      <c r="D96" s="84">
        <v>40946</v>
      </c>
      <c r="E96" s="84">
        <v>40946</v>
      </c>
      <c r="F96">
        <f t="shared" si="1"/>
        <v>0</v>
      </c>
    </row>
    <row r="97" spans="3:6" x14ac:dyDescent="0.2">
      <c r="C97">
        <v>2017</v>
      </c>
      <c r="D97" s="84">
        <v>41301</v>
      </c>
      <c r="E97" s="84">
        <v>41301</v>
      </c>
      <c r="F97">
        <f t="shared" si="1"/>
        <v>0</v>
      </c>
    </row>
    <row r="98" spans="3:6" x14ac:dyDescent="0.2">
      <c r="C98">
        <v>2018</v>
      </c>
      <c r="D98" s="84">
        <v>41685</v>
      </c>
      <c r="E98" s="84">
        <v>41685</v>
      </c>
      <c r="F98">
        <f t="shared" si="1"/>
        <v>0</v>
      </c>
    </row>
    <row r="99" spans="3:6" x14ac:dyDescent="0.2">
      <c r="C99">
        <v>2019</v>
      </c>
      <c r="D99" s="84">
        <v>42039</v>
      </c>
      <c r="E99" s="84">
        <v>42039</v>
      </c>
      <c r="F99">
        <f t="shared" si="1"/>
        <v>0</v>
      </c>
    </row>
    <row r="100" spans="3:6" x14ac:dyDescent="0.2">
      <c r="C100">
        <v>2020</v>
      </c>
      <c r="D100" s="84">
        <v>42393</v>
      </c>
      <c r="E100" s="84">
        <v>42393</v>
      </c>
      <c r="F100">
        <f t="shared" si="1"/>
        <v>0</v>
      </c>
    </row>
    <row r="101" spans="3:6" x14ac:dyDescent="0.2">
      <c r="C101">
        <v>2021</v>
      </c>
      <c r="D101" s="84">
        <v>42777</v>
      </c>
      <c r="E101" s="84">
        <v>42777</v>
      </c>
      <c r="F101">
        <f t="shared" si="1"/>
        <v>0</v>
      </c>
    </row>
    <row r="102" spans="3:6" x14ac:dyDescent="0.2">
      <c r="C102">
        <v>2022</v>
      </c>
      <c r="D102" s="84">
        <v>43131</v>
      </c>
      <c r="E102" s="84">
        <v>43131</v>
      </c>
      <c r="F102">
        <f t="shared" si="1"/>
        <v>0</v>
      </c>
    </row>
    <row r="103" spans="3:6" x14ac:dyDescent="0.2">
      <c r="C103">
        <v>2023</v>
      </c>
      <c r="D103" s="84">
        <v>43486</v>
      </c>
      <c r="E103" s="84">
        <v>43486</v>
      </c>
      <c r="F103">
        <f t="shared" si="1"/>
        <v>0</v>
      </c>
    </row>
    <row r="104" spans="3:6" x14ac:dyDescent="0.2">
      <c r="C104">
        <v>2024</v>
      </c>
      <c r="D104" s="84">
        <v>43870</v>
      </c>
      <c r="E104" s="84">
        <v>43870</v>
      </c>
      <c r="F104">
        <f t="shared" si="1"/>
        <v>0</v>
      </c>
    </row>
    <row r="105" spans="3:6" x14ac:dyDescent="0.2">
      <c r="C105">
        <v>2025</v>
      </c>
      <c r="D105" s="84">
        <v>44224</v>
      </c>
      <c r="E105" s="84">
        <v>44224</v>
      </c>
      <c r="F105">
        <f t="shared" si="1"/>
        <v>0</v>
      </c>
    </row>
    <row r="106" spans="3:6" x14ac:dyDescent="0.2">
      <c r="C106">
        <v>2026</v>
      </c>
      <c r="D106" s="84">
        <v>44608</v>
      </c>
      <c r="E106" s="84">
        <v>44608</v>
      </c>
      <c r="F106">
        <f t="shared" si="1"/>
        <v>0</v>
      </c>
    </row>
    <row r="107" spans="3:6" x14ac:dyDescent="0.2">
      <c r="C107">
        <v>2027</v>
      </c>
      <c r="D107" s="84">
        <v>44962</v>
      </c>
      <c r="E107" s="84">
        <v>44962</v>
      </c>
      <c r="F107">
        <f t="shared" si="1"/>
        <v>0</v>
      </c>
    </row>
    <row r="108" spans="3:6" x14ac:dyDescent="0.2">
      <c r="C108">
        <v>2028</v>
      </c>
      <c r="D108" s="84">
        <v>45316</v>
      </c>
      <c r="E108" s="84">
        <v>45316</v>
      </c>
      <c r="F108">
        <f t="shared" si="1"/>
        <v>0</v>
      </c>
    </row>
    <row r="109" spans="3:6" x14ac:dyDescent="0.2">
      <c r="C109">
        <v>2029</v>
      </c>
      <c r="D109" s="84">
        <v>45700</v>
      </c>
      <c r="E109" s="84">
        <v>45700</v>
      </c>
      <c r="F109">
        <f t="shared" si="1"/>
        <v>0</v>
      </c>
    </row>
    <row r="110" spans="3:6" x14ac:dyDescent="0.2">
      <c r="C110" s="293">
        <v>2030</v>
      </c>
      <c r="D110" s="295">
        <v>46055</v>
      </c>
      <c r="E110" s="295">
        <v>46054</v>
      </c>
      <c r="F110" s="293">
        <f t="shared" si="1"/>
        <v>1</v>
      </c>
    </row>
    <row r="111" spans="3:6" x14ac:dyDescent="0.2">
      <c r="C111">
        <v>2031</v>
      </c>
      <c r="D111" s="84">
        <v>46409</v>
      </c>
      <c r="E111" s="84">
        <v>46409</v>
      </c>
      <c r="F111">
        <f t="shared" si="1"/>
        <v>0</v>
      </c>
    </row>
    <row r="112" spans="3:6" x14ac:dyDescent="0.2">
      <c r="C112">
        <v>2032</v>
      </c>
      <c r="D112" s="84">
        <v>46793</v>
      </c>
      <c r="E112" s="84">
        <v>46793</v>
      </c>
      <c r="F112">
        <f t="shared" si="1"/>
        <v>0</v>
      </c>
    </row>
    <row r="113" spans="3:6" x14ac:dyDescent="0.2">
      <c r="C113">
        <v>2033</v>
      </c>
      <c r="D113" s="84">
        <v>47148</v>
      </c>
      <c r="E113" s="84">
        <v>47148</v>
      </c>
      <c r="F113">
        <f t="shared" si="1"/>
        <v>0</v>
      </c>
    </row>
    <row r="114" spans="3:6" x14ac:dyDescent="0.2">
      <c r="C114">
        <v>2034</v>
      </c>
      <c r="D114" s="84">
        <v>47532</v>
      </c>
      <c r="E114" s="84">
        <v>47532</v>
      </c>
      <c r="F114">
        <f t="shared" si="1"/>
        <v>0</v>
      </c>
    </row>
    <row r="115" spans="3:6" x14ac:dyDescent="0.2">
      <c r="C115">
        <v>2035</v>
      </c>
      <c r="D115" s="84">
        <v>47886</v>
      </c>
      <c r="E115" s="84">
        <v>47886</v>
      </c>
      <c r="F115">
        <f t="shared" si="1"/>
        <v>0</v>
      </c>
    </row>
    <row r="116" spans="3:6" x14ac:dyDescent="0.2">
      <c r="C116">
        <v>2036</v>
      </c>
      <c r="D116" s="84">
        <v>48240</v>
      </c>
      <c r="E116" s="84">
        <v>48240</v>
      </c>
      <c r="F116">
        <f t="shared" si="1"/>
        <v>0</v>
      </c>
    </row>
    <row r="117" spans="3:6" x14ac:dyDescent="0.2">
      <c r="C117">
        <v>2037</v>
      </c>
      <c r="D117" s="84">
        <v>48624</v>
      </c>
      <c r="E117" s="84">
        <v>48624</v>
      </c>
      <c r="F117">
        <f t="shared" si="1"/>
        <v>0</v>
      </c>
    </row>
    <row r="118" spans="3:6" x14ac:dyDescent="0.2">
      <c r="C118">
        <v>2038</v>
      </c>
      <c r="D118" s="84">
        <v>48978</v>
      </c>
      <c r="E118" s="84">
        <v>48978</v>
      </c>
      <c r="F118">
        <f t="shared" si="1"/>
        <v>0</v>
      </c>
    </row>
    <row r="119" spans="3:6" x14ac:dyDescent="0.2">
      <c r="C119">
        <v>2039</v>
      </c>
      <c r="D119" s="84">
        <v>49332</v>
      </c>
      <c r="E119" s="84">
        <v>49332</v>
      </c>
      <c r="F119">
        <f t="shared" si="1"/>
        <v>0</v>
      </c>
    </row>
    <row r="120" spans="3:6" x14ac:dyDescent="0.2">
      <c r="C120">
        <v>2040</v>
      </c>
      <c r="D120" s="84">
        <v>49716</v>
      </c>
      <c r="E120" s="84">
        <v>49716</v>
      </c>
      <c r="F120">
        <f t="shared" si="1"/>
        <v>0</v>
      </c>
    </row>
    <row r="121" spans="3:6" x14ac:dyDescent="0.2">
      <c r="C121">
        <v>2041</v>
      </c>
      <c r="D121" s="84">
        <v>50071</v>
      </c>
      <c r="E121" s="84">
        <v>50071</v>
      </c>
      <c r="F121">
        <f t="shared" si="1"/>
        <v>0</v>
      </c>
    </row>
    <row r="122" spans="3:6" x14ac:dyDescent="0.2">
      <c r="C122">
        <v>2042</v>
      </c>
      <c r="D122" s="84">
        <v>50426</v>
      </c>
      <c r="E122" s="84">
        <v>50426</v>
      </c>
      <c r="F122">
        <f t="shared" si="1"/>
        <v>0</v>
      </c>
    </row>
    <row r="123" spans="3:6" x14ac:dyDescent="0.2">
      <c r="C123">
        <v>2043</v>
      </c>
      <c r="D123" s="84">
        <v>50810</v>
      </c>
      <c r="E123" s="84">
        <v>50810</v>
      </c>
      <c r="F123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Front</vt:lpstr>
      <vt:lpstr>Bazi</vt:lpstr>
      <vt:lpstr>Calc</vt:lpstr>
      <vt:lpstr>Data</vt:lpstr>
      <vt:lpstr>Time Zones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Elio Basagni</dc:creator>
  <cp:keywords/>
  <dc:description/>
  <cp:lastModifiedBy>(Student) Soukaina Denuelle</cp:lastModifiedBy>
  <cp:revision/>
  <dcterms:created xsi:type="dcterms:W3CDTF">2017-08-18T07:30:33Z</dcterms:created>
  <dcterms:modified xsi:type="dcterms:W3CDTF">2025-07-05T20:29:54Z</dcterms:modified>
  <cp:category/>
  <cp:contentStatus/>
</cp:coreProperties>
</file>